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CESEE\Personen\Söhnke\Downloads\activism-main\activism-main\data\"/>
    </mc:Choice>
  </mc:AlternateContent>
  <xr:revisionPtr revIDLastSave="0" documentId="8_{3C381D90-0593-4C40-9E8B-336B00A14721}" xr6:coauthVersionLast="47" xr6:coauthVersionMax="47" xr10:uidLastSave="{00000000-0000-0000-0000-000000000000}"/>
  <bookViews>
    <workbookView xWindow="-28920" yWindow="-1560" windowWidth="29040" windowHeight="17520" xr2:uid="{00000000-000D-0000-FFFF-FFFF00000000}"/>
  </bookViews>
  <sheets>
    <sheet name="Session1" sheetId="3" r:id="rId1"/>
    <sheet name="Session2" sheetId="1" r:id="rId2"/>
    <sheet name="Session3" sheetId="5" r:id="rId3"/>
    <sheet name="Lists" sheetId="2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P32" i="5"/>
  <c r="O32" i="5"/>
  <c r="N32" i="5"/>
  <c r="M32" i="5"/>
  <c r="L32" i="5"/>
  <c r="C32" i="5"/>
  <c r="A32" i="5"/>
</calcChain>
</file>

<file path=xl/sharedStrings.xml><?xml version="1.0" encoding="utf-8"?>
<sst xmlns="http://schemas.openxmlformats.org/spreadsheetml/2006/main" count="921" uniqueCount="152">
  <si>
    <t>Booth_Number</t>
  </si>
  <si>
    <t>Session</t>
  </si>
  <si>
    <t>Age_Years</t>
  </si>
  <si>
    <t>Nationality</t>
  </si>
  <si>
    <t>Gender</t>
  </si>
  <si>
    <t>Field_of_Study</t>
  </si>
  <si>
    <t>Year_of_Study_Semester</t>
  </si>
  <si>
    <t>Degree_Programme</t>
  </si>
  <si>
    <t>Work_Experience</t>
  </si>
  <si>
    <t>Highest_Education_Level</t>
  </si>
  <si>
    <t>Employment</t>
  </si>
  <si>
    <t>Monthly_Disposable_Income_EUR</t>
  </si>
  <si>
    <t>Political_Orientation_0_10</t>
  </si>
  <si>
    <t>General_Trust_0_10</t>
  </si>
  <si>
    <t>Risk_Willingness_0_10</t>
  </si>
  <si>
    <t>Charitable_Donations</t>
  </si>
  <si>
    <t>Iran</t>
  </si>
  <si>
    <t>Man</t>
  </si>
  <si>
    <t>Economics</t>
  </si>
  <si>
    <t>1-2</t>
  </si>
  <si>
    <t>MSc.</t>
  </si>
  <si>
    <t>3-5</t>
  </si>
  <si>
    <t>BSc.</t>
  </si>
  <si>
    <t>Part-time</t>
  </si>
  <si>
    <t>Regularly</t>
  </si>
  <si>
    <t>Bulgaria</t>
  </si>
  <si>
    <t>Logistic Management</t>
  </si>
  <si>
    <t>In education</t>
  </si>
  <si>
    <t>USA</t>
  </si>
  <si>
    <t>MBA</t>
  </si>
  <si>
    <t>3-4</t>
  </si>
  <si>
    <t>Other</t>
  </si>
  <si>
    <t>&gt; 5 years</t>
  </si>
  <si>
    <t>Doctoral Degree or Higher</t>
  </si>
  <si>
    <t>No</t>
  </si>
  <si>
    <t>Russia</t>
  </si>
  <si>
    <t>Woman</t>
  </si>
  <si>
    <t>Linguistics</t>
  </si>
  <si>
    <t>Secondary School</t>
  </si>
  <si>
    <t>Full-time</t>
  </si>
  <si>
    <t>Once</t>
  </si>
  <si>
    <t>Austria</t>
  </si>
  <si>
    <t>-NA-</t>
  </si>
  <si>
    <t>&lt; 1 year</t>
  </si>
  <si>
    <t>Germany</t>
  </si>
  <si>
    <t>Sociology</t>
  </si>
  <si>
    <t>Palestine</t>
  </si>
  <si>
    <t>7-8</t>
  </si>
  <si>
    <t>Ukraine</t>
  </si>
  <si>
    <t>Business Communication</t>
  </si>
  <si>
    <t>International Business Administration</t>
  </si>
  <si>
    <t>Applied Arts</t>
  </si>
  <si>
    <t>Business</t>
  </si>
  <si>
    <t>Non-binary / Diverse</t>
  </si>
  <si>
    <t>None</t>
  </si>
  <si>
    <t>Business Law</t>
  </si>
  <si>
    <t>BSc</t>
  </si>
  <si>
    <t>3-5 years</t>
  </si>
  <si>
    <t>Swedish</t>
  </si>
  <si>
    <t>Business and Economics</t>
  </si>
  <si>
    <t>1-2 years</t>
  </si>
  <si>
    <t>German</t>
  </si>
  <si>
    <t>Business Administration</t>
  </si>
  <si>
    <t>Bulgarian</t>
  </si>
  <si>
    <t>350-450</t>
  </si>
  <si>
    <t>Prefer not to say</t>
  </si>
  <si>
    <t>Not employed; In education</t>
  </si>
  <si>
    <t>Ukrainian</t>
  </si>
  <si>
    <t>5-6</t>
  </si>
  <si>
    <t>&lt;1 year</t>
  </si>
  <si>
    <t>German, Hungarian</t>
  </si>
  <si>
    <t>Business and Economics &amp; Social Sciences</t>
  </si>
  <si>
    <t>Business &amp; Social Science</t>
  </si>
  <si>
    <t>Czechian</t>
  </si>
  <si>
    <t>Part-time; In education</t>
  </si>
  <si>
    <t>Russian</t>
  </si>
  <si>
    <t>Physics</t>
  </si>
  <si>
    <t>WISO</t>
  </si>
  <si>
    <t>&gt;5 years</t>
  </si>
  <si>
    <t>Business Economics</t>
  </si>
  <si>
    <t>MSc</t>
  </si>
  <si>
    <t>Bachelor's degree</t>
  </si>
  <si>
    <t>In education studying</t>
  </si>
  <si>
    <t>Romanian</t>
  </si>
  <si>
    <t>Secondary school</t>
  </si>
  <si>
    <t>WISO Business Information Systems</t>
  </si>
  <si>
    <t>Slovakian</t>
  </si>
  <si>
    <t>Management</t>
  </si>
  <si>
    <t>Not employed</t>
  </si>
  <si>
    <t>In education studying; Not employed</t>
  </si>
  <si>
    <t>200-300</t>
  </si>
  <si>
    <t>Vocational training/apprenticeship</t>
  </si>
  <si>
    <t>Social Studies</t>
  </si>
  <si>
    <t>Kazakhstan</t>
  </si>
  <si>
    <t>Digital Economy</t>
  </si>
  <si>
    <t>Turkish</t>
  </si>
  <si>
    <t>Marketing</t>
  </si>
  <si>
    <t>300-350</t>
  </si>
  <si>
    <t>International law</t>
  </si>
  <si>
    <t>LLB</t>
  </si>
  <si>
    <t>Part-time; in education/studying</t>
  </si>
  <si>
    <t>Österreich</t>
  </si>
  <si>
    <t>Rechnungswesen</t>
  </si>
  <si>
    <t>Doctoral degree or higher</t>
  </si>
  <si>
    <t>9+</t>
  </si>
  <si>
    <t>Master's degree</t>
  </si>
  <si>
    <t>Indian</t>
  </si>
  <si>
    <t>Media Informatics</t>
  </si>
  <si>
    <t>Czech</t>
  </si>
  <si>
    <t>Hungarian</t>
  </si>
  <si>
    <t>Antropology</t>
  </si>
  <si>
    <t>Economics&amp;Law</t>
  </si>
  <si>
    <t>Japanese</t>
  </si>
  <si>
    <t>BBA</t>
  </si>
  <si>
    <t>1500-2500</t>
  </si>
  <si>
    <t>Hungary</t>
  </si>
  <si>
    <t>In education/studying</t>
  </si>
  <si>
    <t>Slovakia</t>
  </si>
  <si>
    <t>Economics and Social Studies</t>
  </si>
  <si>
    <t>Packing Technology</t>
  </si>
  <si>
    <t>Pakistani</t>
  </si>
  <si>
    <t>Estonia</t>
  </si>
  <si>
    <t>SEEP</t>
  </si>
  <si>
    <t>Chemistry</t>
  </si>
  <si>
    <t>Indonesian</t>
  </si>
  <si>
    <t>Business &amp; Economics</t>
  </si>
  <si>
    <t xml:space="preserve">International Business </t>
  </si>
  <si>
    <t>Full-time &amp; in education/studying</t>
  </si>
  <si>
    <t>Romania</t>
  </si>
  <si>
    <t>Political Science</t>
  </si>
  <si>
    <t>NA</t>
  </si>
  <si>
    <t>Engineering</t>
  </si>
  <si>
    <t>Tourism Management &amp; Japanese Studies</t>
  </si>
  <si>
    <t>MA</t>
  </si>
  <si>
    <t>Italy</t>
  </si>
  <si>
    <t>Part-time &amp; In education/studying</t>
  </si>
  <si>
    <t>Psychology</t>
  </si>
  <si>
    <t>Mathematics &amp; Economics</t>
  </si>
  <si>
    <t>0</t>
  </si>
  <si>
    <t>1</t>
  </si>
  <si>
    <t>Non-binary/diverse</t>
  </si>
  <si>
    <t>PhD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</si>
  <si>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</si>
  <si>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</si>
  <si>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</si>
  <si>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</si>
  <si>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</si>
  <si>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</si>
  <si>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</si>
  <si>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</si>
  <si>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</si>
  <si>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'-NA-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</si>
</sst>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0" borderId="0" xfId="0" quotePrefix="1"/>
    <xf numFmtId="164" fontId="0" fillId="0" borderId="0" xfId="1" applyFont="1"/>
    <xf numFmtId="164" fontId="0" fillId="0" borderId="0" xfId="0" applyNumberFormat="1"/>
    <xf numFmtId="49" fontId="2" fillId="0" borderId="0" xfId="0" applyNumberFormat="1" applyFont="1"/>
    <xf numFmtId="49" fontId="0" fillId="0" borderId="0" xfId="0" applyNumberFormat="1"/>
    <xf numFmtId="0" fontId="3" fillId="0" borderId="0" xfId="0" quotePrefix="1" applyFont="1" applyAlignment="1">
      <alignment horizontal="center" vertical="center"/>
    </xf>
  </cellXfs>
  <cellStyles count="2">
    <cellStyle name="Komma" xfId="1" builtinId="3"/>
    <cellStyle name="Standard" xfId="0" builtinId="0"/>
  </cellStyles>
  <dxfs count="106"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30" formatCode="@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5D86BB-DAAB-3A43-952D-BC7845F3247E}" name="Table13" displayName="Table13" ref="A1:P32" totalsRowCount="1" headerRowDxfId="105" dataDxfId="104" totalsRowDxfId="103">
  <autoFilter ref="A1:P31" xr:uid="{5C5D86BB-DAAB-3A43-952D-BC7845F3247E}"/>
  <tableColumns count="16">
    <tableColumn id="1" xr3:uid="{B194D6E6-1560-E74F-9067-47CC64A70829}" name="Booth_Number" dataDxfId="102" totalsRowDxfId="30"/>
    <tableColumn id="2" xr3:uid="{1FFD1186-AE16-2D4A-9BC0-83B2779A0BE8}" name="Session" dataDxfId="101" totalsRowDxfId="29"/>
    <tableColumn id="3" xr3:uid="{AE5BDD3C-77E0-5245-8E9D-14FAEFDAB342}" name="Age_Years" dataDxfId="100" totalsRowDxfId="28"/>
    <tableColumn id="4" xr3:uid="{E2E7284A-2358-7E41-962F-E9467431B89C}" name="Nationality" dataDxfId="99" totalsRowDxfId="27"/>
    <tableColumn id="5" xr3:uid="{A4EACD71-6697-C448-ABE0-A88C93B1DB93}" name="Gender" dataDxfId="98" totalsRowDxfId="26"/>
    <tableColumn id="6" xr3:uid="{98013365-41CF-0B41-B65A-686551234DA4}" name="Field_of_Study" totalsRowDxfId="25"/>
    <tableColumn id="7" xr3:uid="{42CD8F97-B176-E943-A9B7-C824411E1716}" name="Year_of_Study_Semester" dataDxfId="97"/>
    <tableColumn id="8" xr3:uid="{5EB8CA51-FB04-7D41-A829-67F968344E23}" name="Degree_Programme" dataDxfId="96" totalsRowDxfId="24"/>
    <tableColumn id="9" xr3:uid="{69648DDC-AA24-3245-ACA4-01FE9DFB4E47}" name="Work_Experience" dataDxfId="95" totalsRowDxfId="23"/>
    <tableColumn id="10" xr3:uid="{FAA2517B-2EB4-3641-AB5D-3C14A79F49E1}" name="Highest_Education_Level" dataDxfId="94" totalsRowDxfId="22"/>
    <tableColumn id="11" xr3:uid="{FEAD7DD2-414E-554F-9FE6-39C6AD1D01A1}" name="Employment" dataDxfId="93" totalsRowDxfId="21"/>
    <tableColumn id="16" xr3:uid="{F042344B-8574-F144-84FB-15A649824881}" name="Monthly_Disposable_Income_EUR" dataDxfId="92" totalsRowDxfId="20"/>
    <tableColumn id="17" xr3:uid="{020002FB-1A46-7744-9A57-430F963F226B}" name="Political_Orientation_0_10" dataDxfId="91" totalsRowDxfId="19"/>
    <tableColumn id="18" xr3:uid="{D2FD07F8-9B74-2441-A57C-55DA3AE3423D}" name="General_Trust_0_10" dataDxfId="90" totalsRowDxfId="18"/>
    <tableColumn id="19" xr3:uid="{D1F32CFC-3901-E041-9FFD-215338B12F58}" name="Risk_Willingness_0_10" dataDxfId="89" totalsRowDxfId="17"/>
    <tableColumn id="20" xr3:uid="{D6420E08-8691-5E41-A7E1-4263C409EFAB}" name="Charitable_Donations" dataDxfId="88" totalsRowDxfId="16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89106C-776E-624F-A4DC-9A1B4BA0B015}" name="Table1" displayName="Table1" ref="A1:P32" totalsRowCount="1" headerRowDxfId="87" dataDxfId="86" totalsRowDxfId="85">
  <autoFilter ref="A1:P31" xr:uid="{1089106C-776E-624F-A4DC-9A1B4BA0B015}"/>
  <tableColumns count="16">
    <tableColumn id="1" xr3:uid="{B068DD61-99E5-2749-A163-65530EDB73DC}" name="Booth_Number" dataDxfId="84" totalsRowDxfId="15"/>
    <tableColumn id="2" xr3:uid="{F963A8CD-7DF4-CC4C-967B-B9802AD22F38}" name="Session" dataDxfId="83" totalsRowDxfId="14"/>
    <tableColumn id="3" xr3:uid="{B80EAC22-4139-134F-8DB8-FB8E38886D4A}" name="Age_Years" dataDxfId="82" totalsRowDxfId="13"/>
    <tableColumn id="4" xr3:uid="{5B95407E-A5FA-F044-9588-C2BE26BAA885}" name="Nationality" dataDxfId="81" totalsRowDxfId="12"/>
    <tableColumn id="5" xr3:uid="{C7A9002D-5421-014E-927E-7F75EE7A79F9}" name="Gender" dataDxfId="80" totalsRowDxfId="11"/>
    <tableColumn id="6" xr3:uid="{CFDC9B86-7ECB-7749-91B0-464F75E5437A}" name="Field_of_Study" totalsRowDxfId="10"/>
    <tableColumn id="7" xr3:uid="{C4366F08-CFA4-C643-BB35-111207E07586}" name="Year_of_Study_Semester" dataDxfId="79" totalsRowDxfId="9"/>
    <tableColumn id="8" xr3:uid="{77242257-94FB-0749-9D11-66399627BF29}" name="Degree_Programme" dataDxfId="78" totalsRowDxfId="8"/>
    <tableColumn id="9" xr3:uid="{405D722B-861E-8D4E-832A-99959828E884}" name="Work_Experience" dataDxfId="77" totalsRowDxfId="7"/>
    <tableColumn id="10" xr3:uid="{D6E58DB9-4559-A04A-9A0B-F41970E217AB}" name="Highest_Education_Level" dataDxfId="76" totalsRowDxfId="6"/>
    <tableColumn id="11" xr3:uid="{4B6CECDB-AE9A-304E-AD31-4E6316A80A2A}" name="Employment" dataDxfId="75" totalsRowDxfId="5"/>
    <tableColumn id="16" xr3:uid="{58195C6F-AFD7-B047-BD65-58DC3E1E5A03}" name="Monthly_Disposable_Income_EUR" dataDxfId="74" totalsRowDxfId="4"/>
    <tableColumn id="17" xr3:uid="{32C412F1-7697-A448-9F91-F9D783EA68A0}" name="Political_Orientation_0_10" dataDxfId="73" totalsRowDxfId="3"/>
    <tableColumn id="18" xr3:uid="{36CAFDB9-1D2D-DA4B-B8F7-7C37EBC342C4}" name="General_Trust_0_10" dataDxfId="72" totalsRowDxfId="2"/>
    <tableColumn id="19" xr3:uid="{86EDFD22-08FB-1B47-B4A3-1D4042B4B832}" name="Risk_Willingness_0_10" dataDxfId="71" totalsRowDxfId="1"/>
    <tableColumn id="20" xr3:uid="{DC311D45-3099-454D-B8D7-D2B8CD10F477}" name="Charitable_Donations" dataDxfId="70" totalsRowDxfId="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0CE347-DBED-5B4B-AD44-2F0FB747B4BB}" name="Table134" displayName="Table134" ref="A1:P32" totalsRowCount="1" headerRowDxfId="69" dataDxfId="68" totalsRowDxfId="67">
  <autoFilter ref="A1:P31" xr:uid="{5C5D86BB-DAAB-3A43-952D-BC7845F3247E}"/>
  <tableColumns count="16">
    <tableColumn id="1" xr3:uid="{E4B5B160-759E-E842-8EBB-1DD3B755E4DE}" name="Booth_Number" totalsRowFunction="count" dataDxfId="66" totalsRowDxfId="65">
      <calculatedColumnFormula>ROW() - ROW(Table134[[#Headers],[Booth_Number]])</calculatedColumnFormula>
    </tableColumn>
    <tableColumn id="2" xr3:uid="{595EA2A0-0245-354A-8BE1-011972B69236}" name="Session" dataDxfId="64" totalsRowDxfId="63"/>
    <tableColumn id="3" xr3:uid="{21CD8AAC-100E-F148-9BD1-00B2DA48FCDC}" name="Age_Years" totalsRowFunction="average" dataDxfId="62" totalsRowDxfId="61"/>
    <tableColumn id="4" xr3:uid="{92A80F21-564B-CF46-880C-04A968E84611}" name="Nationality" dataDxfId="60" totalsRowDxfId="59"/>
    <tableColumn id="5" xr3:uid="{7E15B3BA-3AC1-F445-A909-A0B2053639B3}" name="Gender" dataDxfId="58" totalsRowDxfId="57"/>
    <tableColumn id="6" xr3:uid="{ECA7C026-3658-0F48-8B29-1EAD9D5A65C3}" name="Field_of_Study" totalsRowDxfId="56"/>
    <tableColumn id="7" xr3:uid="{5B716524-EBE8-1546-BD3F-38D860F726D2}" name="Year_of_Study_Semester" dataDxfId="55" totalsRowDxfId="54"/>
    <tableColumn id="8" xr3:uid="{222C7AFC-B5C2-6F4C-9393-F649D4CF0200}" name="Degree_Programme" dataDxfId="53" totalsRowDxfId="52"/>
    <tableColumn id="9" xr3:uid="{5C0A35D2-9C75-4940-ADF1-732C23DCF6FF}" name="Work_Experience" dataDxfId="51" totalsRowDxfId="50"/>
    <tableColumn id="10" xr3:uid="{5FFD9C01-A4B2-9844-8EF6-3A4843122FD3}" name="Highest_Education_Level" dataDxfId="49" totalsRowDxfId="48"/>
    <tableColumn id="11" xr3:uid="{E657AC9E-801F-E143-A6DE-574D9FA0E9A5}" name="Employment" dataDxfId="47" totalsRowDxfId="46"/>
    <tableColumn id="16" xr3:uid="{E42E1927-312C-AB42-A37F-655DACDD5298}" name="Monthly_Disposable_Income_EUR" totalsRowFunction="average" dataDxfId="45" totalsRowDxfId="44"/>
    <tableColumn id="17" xr3:uid="{75231DB8-9F42-8841-9380-A3A765948C62}" name="Political_Orientation_0_10" totalsRowFunction="average" dataDxfId="43" totalsRowDxfId="42"/>
    <tableColumn id="18" xr3:uid="{FB47E783-698B-854D-8D06-03AB85C70579}" name="General_Trust_0_10" totalsRowFunction="average" dataDxfId="41" totalsRowDxfId="40"/>
    <tableColumn id="19" xr3:uid="{D1A48FD5-002E-494E-A422-3A147D0C2F12}" name="Risk_Willingness_0_10" totalsRowFunction="average" dataDxfId="39" totalsRowDxfId="38"/>
    <tableColumn id="20" xr3:uid="{2383F8CA-54CD-3846-9FEA-0417FC4AC70A}" name="Charitable_Donations" totalsRowFunction="count" dataDxfId="37" totalsRowDxfId="36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47E59-62E9-E241-AF0E-2C65436A89FB}">
  <dimension ref="A1:P32"/>
  <sheetViews>
    <sheetView tabSelected="1" topLeftCell="G1" zoomScaleNormal="100" workbookViewId="0">
      <selection activeCell="M16" sqref="M16"/>
    </sheetView>
  </sheetViews>
  <sheetFormatPr baseColWidth="10" defaultColWidth="8.85546875" defaultRowHeight="15" x14ac:dyDescent="0.25"/>
  <cols>
    <col min="1" max="5" width="18" customWidth="1"/>
    <col min="6" max="6" width="34.7109375" bestFit="1" customWidth="1"/>
    <col min="7" max="7" width="26" customWidth="1"/>
    <col min="8" max="8" width="20" customWidth="1"/>
    <col min="9" max="9" width="19" style="6" customWidth="1"/>
    <col min="10" max="10" width="27" customWidth="1"/>
    <col min="11" max="11" width="24" customWidth="1"/>
    <col min="12" max="12" width="33" customWidth="1"/>
    <col min="13" max="13" width="30" customWidth="1"/>
    <col min="14" max="14" width="22" customWidth="1"/>
    <col min="15" max="15" width="25" customWidth="1"/>
    <col min="16" max="16" width="24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24</v>
      </c>
      <c r="B2">
        <v>1</v>
      </c>
      <c r="C2">
        <v>26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6" t="s">
        <v>21</v>
      </c>
      <c r="J2" t="s">
        <v>22</v>
      </c>
      <c r="K2" t="s">
        <v>23</v>
      </c>
      <c r="L2">
        <v>300</v>
      </c>
      <c r="M2">
        <v>7</v>
      </c>
      <c r="N2">
        <v>2</v>
      </c>
      <c r="O2">
        <v>8</v>
      </c>
      <c r="P2" t="s">
        <v>24</v>
      </c>
    </row>
    <row r="3" spans="1:16" x14ac:dyDescent="0.25">
      <c r="A3">
        <v>16</v>
      </c>
      <c r="B3">
        <v>1</v>
      </c>
      <c r="C3">
        <v>25</v>
      </c>
      <c r="D3" t="s">
        <v>25</v>
      </c>
      <c r="E3" t="s">
        <v>17</v>
      </c>
      <c r="F3" t="s">
        <v>26</v>
      </c>
      <c r="G3" t="s">
        <v>19</v>
      </c>
      <c r="H3" t="s">
        <v>20</v>
      </c>
      <c r="I3" s="6" t="s">
        <v>19</v>
      </c>
      <c r="J3" t="s">
        <v>22</v>
      </c>
      <c r="K3" t="s">
        <v>27</v>
      </c>
      <c r="L3">
        <v>775</v>
      </c>
      <c r="M3">
        <v>6</v>
      </c>
      <c r="N3">
        <v>7</v>
      </c>
      <c r="O3">
        <v>7</v>
      </c>
      <c r="P3" t="s">
        <v>24</v>
      </c>
    </row>
    <row r="4" spans="1:16" x14ac:dyDescent="0.25">
      <c r="A4">
        <v>23</v>
      </c>
      <c r="B4">
        <v>1</v>
      </c>
      <c r="C4">
        <v>41</v>
      </c>
      <c r="D4" t="s">
        <v>28</v>
      </c>
      <c r="E4" t="s">
        <v>17</v>
      </c>
      <c r="F4" t="s">
        <v>29</v>
      </c>
      <c r="G4" t="s">
        <v>30</v>
      </c>
      <c r="H4" t="s">
        <v>31</v>
      </c>
      <c r="I4" s="6" t="s">
        <v>32</v>
      </c>
      <c r="J4" t="s">
        <v>33</v>
      </c>
      <c r="K4" t="s">
        <v>27</v>
      </c>
      <c r="L4">
        <v>1000</v>
      </c>
      <c r="M4">
        <v>3</v>
      </c>
      <c r="N4">
        <v>9</v>
      </c>
      <c r="O4">
        <v>6</v>
      </c>
      <c r="P4" t="s">
        <v>34</v>
      </c>
    </row>
    <row r="5" spans="1:16" x14ac:dyDescent="0.25">
      <c r="A5">
        <v>22</v>
      </c>
      <c r="B5">
        <v>1</v>
      </c>
      <c r="C5">
        <v>22</v>
      </c>
      <c r="D5" t="s">
        <v>35</v>
      </c>
      <c r="E5" t="s">
        <v>36</v>
      </c>
      <c r="F5" t="s">
        <v>37</v>
      </c>
      <c r="G5" t="s">
        <v>19</v>
      </c>
      <c r="H5" t="s">
        <v>22</v>
      </c>
      <c r="I5" s="6" t="s">
        <v>21</v>
      </c>
      <c r="J5" t="s">
        <v>38</v>
      </c>
      <c r="K5" t="s">
        <v>39</v>
      </c>
      <c r="L5">
        <v>1000</v>
      </c>
      <c r="M5">
        <v>2</v>
      </c>
      <c r="N5">
        <v>7</v>
      </c>
      <c r="O5">
        <v>8</v>
      </c>
      <c r="P5" t="s">
        <v>40</v>
      </c>
    </row>
    <row r="6" spans="1:16" x14ac:dyDescent="0.25">
      <c r="A6">
        <v>21</v>
      </c>
      <c r="B6">
        <v>1</v>
      </c>
      <c r="C6">
        <v>20</v>
      </c>
      <c r="D6" t="s">
        <v>41</v>
      </c>
      <c r="E6" t="s">
        <v>17</v>
      </c>
      <c r="F6" s="2" t="s">
        <v>42</v>
      </c>
      <c r="G6" t="s">
        <v>19</v>
      </c>
      <c r="H6" t="s">
        <v>22</v>
      </c>
      <c r="I6" s="6" t="s">
        <v>43</v>
      </c>
      <c r="J6" t="s">
        <v>38</v>
      </c>
      <c r="K6" t="s">
        <v>23</v>
      </c>
      <c r="L6">
        <v>300</v>
      </c>
      <c r="M6">
        <v>6</v>
      </c>
      <c r="N6">
        <v>4</v>
      </c>
      <c r="O6">
        <v>2</v>
      </c>
      <c r="P6" t="s">
        <v>34</v>
      </c>
    </row>
    <row r="7" spans="1:16" x14ac:dyDescent="0.25">
      <c r="A7">
        <v>20</v>
      </c>
      <c r="B7">
        <v>1</v>
      </c>
      <c r="C7">
        <v>19</v>
      </c>
      <c r="D7" t="s">
        <v>44</v>
      </c>
      <c r="E7" t="s">
        <v>17</v>
      </c>
      <c r="F7" s="2" t="s">
        <v>42</v>
      </c>
      <c r="G7" t="s">
        <v>19</v>
      </c>
      <c r="H7" t="s">
        <v>22</v>
      </c>
      <c r="I7" s="6" t="s">
        <v>43</v>
      </c>
      <c r="J7" t="s">
        <v>38</v>
      </c>
      <c r="K7" t="s">
        <v>27</v>
      </c>
      <c r="L7">
        <v>300</v>
      </c>
      <c r="M7">
        <v>6</v>
      </c>
      <c r="N7">
        <v>3</v>
      </c>
      <c r="O7">
        <v>4</v>
      </c>
      <c r="P7" t="s">
        <v>34</v>
      </c>
    </row>
    <row r="8" spans="1:16" x14ac:dyDescent="0.25">
      <c r="A8">
        <v>19</v>
      </c>
      <c r="B8">
        <v>1</v>
      </c>
      <c r="C8">
        <v>41</v>
      </c>
      <c r="D8" t="s">
        <v>41</v>
      </c>
      <c r="E8" t="s">
        <v>17</v>
      </c>
      <c r="F8" t="s">
        <v>45</v>
      </c>
      <c r="G8" t="s">
        <v>19</v>
      </c>
      <c r="H8" t="s">
        <v>20</v>
      </c>
      <c r="I8" s="6" t="s">
        <v>32</v>
      </c>
      <c r="J8" t="s">
        <v>20</v>
      </c>
      <c r="K8" t="s">
        <v>23</v>
      </c>
      <c r="L8">
        <v>500</v>
      </c>
      <c r="M8">
        <v>3</v>
      </c>
      <c r="N8">
        <v>6</v>
      </c>
      <c r="O8">
        <v>3</v>
      </c>
      <c r="P8" t="s">
        <v>24</v>
      </c>
    </row>
    <row r="9" spans="1:16" x14ac:dyDescent="0.25">
      <c r="A9">
        <v>17</v>
      </c>
      <c r="B9">
        <v>1</v>
      </c>
      <c r="C9">
        <v>24</v>
      </c>
      <c r="D9" t="s">
        <v>46</v>
      </c>
      <c r="E9" t="s">
        <v>17</v>
      </c>
      <c r="F9" t="s">
        <v>18</v>
      </c>
      <c r="G9" t="s">
        <v>30</v>
      </c>
      <c r="H9" t="s">
        <v>20</v>
      </c>
      <c r="I9" s="6" t="s">
        <v>21</v>
      </c>
      <c r="J9" t="s">
        <v>22</v>
      </c>
      <c r="K9" t="s">
        <v>27</v>
      </c>
      <c r="L9">
        <v>200</v>
      </c>
      <c r="M9">
        <v>2</v>
      </c>
      <c r="N9">
        <v>8</v>
      </c>
      <c r="O9">
        <v>10</v>
      </c>
      <c r="P9" t="s">
        <v>34</v>
      </c>
    </row>
    <row r="10" spans="1:16" x14ac:dyDescent="0.25">
      <c r="A10">
        <v>18</v>
      </c>
      <c r="B10">
        <v>1</v>
      </c>
      <c r="C10">
        <v>26</v>
      </c>
      <c r="D10" t="s">
        <v>41</v>
      </c>
      <c r="E10" t="s">
        <v>36</v>
      </c>
      <c r="F10" s="2" t="s">
        <v>42</v>
      </c>
      <c r="G10" t="s">
        <v>47</v>
      </c>
      <c r="H10" t="s">
        <v>22</v>
      </c>
      <c r="I10" s="6" t="s">
        <v>32</v>
      </c>
      <c r="J10" t="s">
        <v>22</v>
      </c>
      <c r="K10" t="s">
        <v>27</v>
      </c>
      <c r="L10">
        <v>4000</v>
      </c>
      <c r="M10">
        <v>8</v>
      </c>
      <c r="N10">
        <v>2</v>
      </c>
      <c r="O10">
        <v>10</v>
      </c>
      <c r="P10" t="s">
        <v>24</v>
      </c>
    </row>
    <row r="11" spans="1:16" x14ac:dyDescent="0.25">
      <c r="A11">
        <v>15</v>
      </c>
      <c r="B11">
        <v>1</v>
      </c>
      <c r="C11">
        <v>22</v>
      </c>
      <c r="D11" t="s">
        <v>48</v>
      </c>
      <c r="E11" t="s">
        <v>36</v>
      </c>
      <c r="F11" t="s">
        <v>49</v>
      </c>
      <c r="G11" t="s">
        <v>19</v>
      </c>
      <c r="H11" t="s">
        <v>20</v>
      </c>
      <c r="I11" s="6" t="s">
        <v>19</v>
      </c>
      <c r="J11" t="s">
        <v>22</v>
      </c>
      <c r="K11" t="s">
        <v>39</v>
      </c>
      <c r="L11">
        <v>200</v>
      </c>
      <c r="M11">
        <v>3</v>
      </c>
      <c r="N11">
        <v>1</v>
      </c>
      <c r="O11">
        <v>7</v>
      </c>
      <c r="P11" t="s">
        <v>24</v>
      </c>
    </row>
    <row r="12" spans="1:16" x14ac:dyDescent="0.25">
      <c r="A12">
        <v>14</v>
      </c>
      <c r="B12">
        <v>1</v>
      </c>
      <c r="C12">
        <v>21</v>
      </c>
      <c r="D12" t="s">
        <v>41</v>
      </c>
      <c r="E12" t="s">
        <v>17</v>
      </c>
      <c r="F12" t="s">
        <v>50</v>
      </c>
      <c r="G12" t="s">
        <v>19</v>
      </c>
      <c r="H12" t="s">
        <v>22</v>
      </c>
      <c r="I12" s="6" t="s">
        <v>19</v>
      </c>
      <c r="J12" t="s">
        <v>38</v>
      </c>
      <c r="K12" t="s">
        <v>23</v>
      </c>
      <c r="L12">
        <v>600</v>
      </c>
      <c r="M12">
        <v>4</v>
      </c>
      <c r="N12">
        <v>7</v>
      </c>
      <c r="O12">
        <v>9</v>
      </c>
      <c r="P12" t="s">
        <v>24</v>
      </c>
    </row>
    <row r="13" spans="1:16" x14ac:dyDescent="0.25">
      <c r="A13">
        <v>13</v>
      </c>
      <c r="B13">
        <v>1</v>
      </c>
      <c r="C13">
        <v>26</v>
      </c>
      <c r="D13" t="s">
        <v>41</v>
      </c>
      <c r="E13" t="s">
        <v>36</v>
      </c>
      <c r="F13" t="s">
        <v>51</v>
      </c>
      <c r="G13" t="s">
        <v>30</v>
      </c>
      <c r="H13" t="s">
        <v>31</v>
      </c>
      <c r="I13" s="6" t="s">
        <v>21</v>
      </c>
      <c r="J13" t="s">
        <v>22</v>
      </c>
      <c r="K13" t="s">
        <v>23</v>
      </c>
      <c r="L13">
        <v>200</v>
      </c>
      <c r="M13">
        <v>5</v>
      </c>
      <c r="N13">
        <v>0</v>
      </c>
      <c r="O13">
        <v>6</v>
      </c>
      <c r="P13" t="s">
        <v>40</v>
      </c>
    </row>
    <row r="14" spans="1:16" x14ac:dyDescent="0.25">
      <c r="A14">
        <v>12</v>
      </c>
      <c r="B14">
        <v>1</v>
      </c>
      <c r="C14">
        <v>21</v>
      </c>
      <c r="D14" t="s">
        <v>44</v>
      </c>
      <c r="E14" t="s">
        <v>17</v>
      </c>
      <c r="F14" t="s">
        <v>52</v>
      </c>
      <c r="G14" t="s">
        <v>30</v>
      </c>
      <c r="H14" t="s">
        <v>22</v>
      </c>
      <c r="I14" s="6" t="s">
        <v>43</v>
      </c>
      <c r="J14" t="s">
        <v>38</v>
      </c>
      <c r="K14" t="s">
        <v>27</v>
      </c>
      <c r="L14">
        <v>750</v>
      </c>
      <c r="M14">
        <v>6</v>
      </c>
      <c r="N14">
        <v>4</v>
      </c>
      <c r="O14">
        <v>7</v>
      </c>
      <c r="P14" t="s">
        <v>34</v>
      </c>
    </row>
    <row r="15" spans="1:16" x14ac:dyDescent="0.25">
      <c r="A15">
        <v>11</v>
      </c>
      <c r="B15">
        <v>1</v>
      </c>
      <c r="C15">
        <v>19</v>
      </c>
      <c r="D15" t="s">
        <v>41</v>
      </c>
      <c r="E15" t="s">
        <v>53</v>
      </c>
      <c r="F15" s="2" t="s">
        <v>42</v>
      </c>
      <c r="G15" t="s">
        <v>19</v>
      </c>
      <c r="H15" t="s">
        <v>22</v>
      </c>
      <c r="I15" s="6" t="s">
        <v>54</v>
      </c>
      <c r="J15" t="s">
        <v>38</v>
      </c>
      <c r="K15" t="s">
        <v>27</v>
      </c>
      <c r="L15">
        <v>150</v>
      </c>
      <c r="M15">
        <v>0</v>
      </c>
      <c r="N15">
        <v>8</v>
      </c>
      <c r="O15">
        <v>7</v>
      </c>
      <c r="P15" t="s">
        <v>40</v>
      </c>
    </row>
    <row r="16" spans="1:16" x14ac:dyDescent="0.25">
      <c r="A16">
        <v>9</v>
      </c>
      <c r="B16">
        <v>1</v>
      </c>
      <c r="C16">
        <v>19</v>
      </c>
      <c r="D16" t="s">
        <v>41</v>
      </c>
      <c r="E16" t="s">
        <v>17</v>
      </c>
      <c r="F16" s="2" t="s">
        <v>42</v>
      </c>
      <c r="G16" t="s">
        <v>19</v>
      </c>
      <c r="H16" t="s">
        <v>22</v>
      </c>
      <c r="I16" s="6" t="s">
        <v>19</v>
      </c>
      <c r="J16" t="s">
        <v>38</v>
      </c>
      <c r="K16" t="s">
        <v>27</v>
      </c>
      <c r="L16">
        <v>600</v>
      </c>
      <c r="M16" s="2" t="s">
        <v>42</v>
      </c>
      <c r="N16" s="2" t="s">
        <v>42</v>
      </c>
      <c r="O16" s="2" t="s">
        <v>42</v>
      </c>
      <c r="P16" s="2" t="s">
        <v>42</v>
      </c>
    </row>
    <row r="17" spans="1:16" x14ac:dyDescent="0.25">
      <c r="A17">
        <v>10</v>
      </c>
      <c r="B17">
        <v>1</v>
      </c>
      <c r="C17">
        <v>28</v>
      </c>
      <c r="D17" t="s">
        <v>44</v>
      </c>
      <c r="E17" t="s">
        <v>36</v>
      </c>
      <c r="F17" s="2" t="s">
        <v>42</v>
      </c>
      <c r="G17" t="s">
        <v>47</v>
      </c>
      <c r="H17" t="s">
        <v>31</v>
      </c>
      <c r="I17" s="6" t="s">
        <v>54</v>
      </c>
      <c r="J17" t="s">
        <v>22</v>
      </c>
      <c r="K17" t="s">
        <v>27</v>
      </c>
      <c r="L17" s="2" t="s">
        <v>42</v>
      </c>
      <c r="M17">
        <v>2</v>
      </c>
      <c r="N17">
        <v>5</v>
      </c>
      <c r="O17">
        <v>5</v>
      </c>
      <c r="P17" t="s">
        <v>40</v>
      </c>
    </row>
    <row r="18" spans="1:16" x14ac:dyDescent="0.25">
      <c r="A18">
        <v>25</v>
      </c>
      <c r="B18">
        <v>1</v>
      </c>
      <c r="C18">
        <v>22</v>
      </c>
      <c r="D18" t="s">
        <v>41</v>
      </c>
      <c r="E18" t="s">
        <v>36</v>
      </c>
      <c r="F18" t="s">
        <v>55</v>
      </c>
      <c r="G18" t="s">
        <v>30</v>
      </c>
      <c r="H18" t="s">
        <v>56</v>
      </c>
      <c r="I18" t="s">
        <v>57</v>
      </c>
      <c r="J18" t="s">
        <v>38</v>
      </c>
      <c r="K18" t="s">
        <v>23</v>
      </c>
      <c r="L18">
        <v>500</v>
      </c>
      <c r="M18">
        <v>5</v>
      </c>
      <c r="N18">
        <v>4</v>
      </c>
      <c r="O18">
        <v>6</v>
      </c>
      <c r="P18" t="s">
        <v>34</v>
      </c>
    </row>
    <row r="19" spans="1:16" x14ac:dyDescent="0.25">
      <c r="A19">
        <v>26</v>
      </c>
      <c r="B19">
        <v>1</v>
      </c>
      <c r="C19">
        <v>21</v>
      </c>
      <c r="D19" t="s">
        <v>58</v>
      </c>
      <c r="E19" t="s">
        <v>17</v>
      </c>
      <c r="F19" t="s">
        <v>59</v>
      </c>
      <c r="G19" t="s">
        <v>30</v>
      </c>
      <c r="H19" t="s">
        <v>56</v>
      </c>
      <c r="I19" t="s">
        <v>60</v>
      </c>
      <c r="J19" t="s">
        <v>38</v>
      </c>
      <c r="K19" t="s">
        <v>27</v>
      </c>
      <c r="L19">
        <v>500</v>
      </c>
      <c r="M19">
        <v>7</v>
      </c>
      <c r="N19">
        <v>4</v>
      </c>
      <c r="O19">
        <v>8</v>
      </c>
      <c r="P19" t="s">
        <v>40</v>
      </c>
    </row>
    <row r="20" spans="1:16" x14ac:dyDescent="0.25">
      <c r="A20">
        <v>27</v>
      </c>
      <c r="B20">
        <v>1</v>
      </c>
      <c r="C20">
        <v>21</v>
      </c>
      <c r="D20" t="s">
        <v>61</v>
      </c>
      <c r="E20" t="s">
        <v>17</v>
      </c>
      <c r="F20" t="s">
        <v>62</v>
      </c>
      <c r="G20" t="s">
        <v>30</v>
      </c>
      <c r="H20" t="s">
        <v>56</v>
      </c>
      <c r="I20" t="s">
        <v>60</v>
      </c>
      <c r="J20" t="s">
        <v>38</v>
      </c>
      <c r="K20" t="s">
        <v>27</v>
      </c>
      <c r="L20">
        <v>700</v>
      </c>
      <c r="M20">
        <v>5</v>
      </c>
      <c r="N20">
        <v>6</v>
      </c>
      <c r="O20">
        <v>8</v>
      </c>
      <c r="P20" t="s">
        <v>40</v>
      </c>
    </row>
    <row r="21" spans="1:16" x14ac:dyDescent="0.25">
      <c r="A21">
        <v>28</v>
      </c>
      <c r="B21">
        <v>1</v>
      </c>
      <c r="C21">
        <v>24</v>
      </c>
      <c r="D21" t="s">
        <v>63</v>
      </c>
      <c r="E21" t="s">
        <v>36</v>
      </c>
      <c r="F21" t="s">
        <v>50</v>
      </c>
      <c r="G21" t="s">
        <v>30</v>
      </c>
      <c r="H21" t="s">
        <v>56</v>
      </c>
      <c r="I21" t="s">
        <v>57</v>
      </c>
      <c r="J21" t="s">
        <v>38</v>
      </c>
      <c r="K21" t="s">
        <v>23</v>
      </c>
      <c r="L21" t="s">
        <v>64</v>
      </c>
      <c r="M21">
        <v>2</v>
      </c>
      <c r="N21">
        <v>3</v>
      </c>
      <c r="O21">
        <v>2</v>
      </c>
      <c r="P21" t="s">
        <v>24</v>
      </c>
    </row>
    <row r="22" spans="1:16" x14ac:dyDescent="0.25">
      <c r="A22">
        <v>29</v>
      </c>
      <c r="B22">
        <v>1</v>
      </c>
      <c r="C22">
        <v>25</v>
      </c>
      <c r="D22" t="s">
        <v>25</v>
      </c>
      <c r="E22" t="s">
        <v>17</v>
      </c>
      <c r="F22" t="s">
        <v>42</v>
      </c>
      <c r="G22" t="s">
        <v>47</v>
      </c>
      <c r="H22" t="s">
        <v>56</v>
      </c>
      <c r="I22" t="s">
        <v>60</v>
      </c>
      <c r="J22" t="s">
        <v>65</v>
      </c>
      <c r="K22" t="s">
        <v>66</v>
      </c>
      <c r="L22">
        <v>300</v>
      </c>
      <c r="M22">
        <v>3</v>
      </c>
      <c r="N22">
        <v>3</v>
      </c>
      <c r="O22">
        <v>3</v>
      </c>
      <c r="P22" t="s">
        <v>34</v>
      </c>
    </row>
    <row r="23" spans="1:16" x14ac:dyDescent="0.25">
      <c r="A23">
        <v>30</v>
      </c>
      <c r="B23">
        <v>1</v>
      </c>
      <c r="C23">
        <v>19</v>
      </c>
      <c r="D23" t="s">
        <v>67</v>
      </c>
      <c r="E23" t="s">
        <v>36</v>
      </c>
      <c r="F23" t="s">
        <v>42</v>
      </c>
      <c r="G23" t="s">
        <v>68</v>
      </c>
      <c r="H23" t="s">
        <v>56</v>
      </c>
      <c r="I23" t="s">
        <v>69</v>
      </c>
      <c r="J23" t="s">
        <v>38</v>
      </c>
      <c r="K23" t="s">
        <v>27</v>
      </c>
      <c r="L23">
        <v>400</v>
      </c>
      <c r="M23">
        <v>5</v>
      </c>
      <c r="N23">
        <v>5</v>
      </c>
      <c r="O23">
        <v>3</v>
      </c>
      <c r="P23" t="s">
        <v>40</v>
      </c>
    </row>
    <row r="24" spans="1:16" x14ac:dyDescent="0.25">
      <c r="A24">
        <v>1</v>
      </c>
      <c r="B24">
        <v>1</v>
      </c>
      <c r="C24">
        <v>19</v>
      </c>
      <c r="D24" t="s">
        <v>70</v>
      </c>
      <c r="E24" t="s">
        <v>36</v>
      </c>
      <c r="F24" t="s">
        <v>71</v>
      </c>
      <c r="G24" t="s">
        <v>19</v>
      </c>
      <c r="H24" t="s">
        <v>56</v>
      </c>
      <c r="I24" t="s">
        <v>54</v>
      </c>
      <c r="J24" t="s">
        <v>38</v>
      </c>
      <c r="K24" t="s">
        <v>27</v>
      </c>
      <c r="L24">
        <v>500</v>
      </c>
      <c r="M24">
        <v>6</v>
      </c>
      <c r="N24">
        <v>5</v>
      </c>
      <c r="O24">
        <v>6</v>
      </c>
      <c r="P24" t="s">
        <v>34</v>
      </c>
    </row>
    <row r="25" spans="1:16" x14ac:dyDescent="0.25">
      <c r="A25">
        <v>4</v>
      </c>
      <c r="B25">
        <v>1</v>
      </c>
      <c r="C25">
        <v>19</v>
      </c>
      <c r="D25" t="s">
        <v>41</v>
      </c>
      <c r="E25" t="s">
        <v>36</v>
      </c>
      <c r="F25" t="s">
        <v>72</v>
      </c>
      <c r="G25" t="s">
        <v>30</v>
      </c>
      <c r="H25" t="s">
        <v>56</v>
      </c>
      <c r="I25" t="s">
        <v>54</v>
      </c>
      <c r="J25" t="s">
        <v>38</v>
      </c>
      <c r="K25" t="s">
        <v>23</v>
      </c>
      <c r="L25">
        <v>700</v>
      </c>
      <c r="M25">
        <v>3</v>
      </c>
      <c r="N25">
        <v>7</v>
      </c>
      <c r="O25">
        <v>7</v>
      </c>
      <c r="P25" t="s">
        <v>40</v>
      </c>
    </row>
    <row r="26" spans="1:16" x14ac:dyDescent="0.25">
      <c r="A26">
        <v>7</v>
      </c>
      <c r="B26">
        <v>1</v>
      </c>
      <c r="C26">
        <v>19</v>
      </c>
      <c r="D26" t="s">
        <v>73</v>
      </c>
      <c r="E26" t="s">
        <v>36</v>
      </c>
      <c r="F26" t="s">
        <v>55</v>
      </c>
      <c r="G26" t="s">
        <v>19</v>
      </c>
      <c r="H26" t="s">
        <v>56</v>
      </c>
      <c r="I26" t="s">
        <v>54</v>
      </c>
      <c r="J26" t="s">
        <v>38</v>
      </c>
      <c r="K26" t="s">
        <v>27</v>
      </c>
      <c r="L26">
        <v>300</v>
      </c>
      <c r="M26">
        <v>1</v>
      </c>
      <c r="N26">
        <v>0</v>
      </c>
      <c r="O26">
        <v>5</v>
      </c>
      <c r="P26" t="s">
        <v>40</v>
      </c>
    </row>
    <row r="27" spans="1:16" x14ac:dyDescent="0.25">
      <c r="A27">
        <v>5</v>
      </c>
      <c r="B27">
        <v>1</v>
      </c>
      <c r="C27">
        <v>20</v>
      </c>
      <c r="D27" t="s">
        <v>41</v>
      </c>
      <c r="E27" t="s">
        <v>17</v>
      </c>
      <c r="F27" t="s">
        <v>42</v>
      </c>
      <c r="G27" t="s">
        <v>19</v>
      </c>
      <c r="H27" t="s">
        <v>56</v>
      </c>
      <c r="I27" t="s">
        <v>60</v>
      </c>
      <c r="J27" t="s">
        <v>38</v>
      </c>
      <c r="K27" t="s">
        <v>74</v>
      </c>
      <c r="L27">
        <v>550</v>
      </c>
      <c r="M27">
        <v>4</v>
      </c>
      <c r="N27">
        <v>8</v>
      </c>
      <c r="O27">
        <v>6</v>
      </c>
      <c r="P27" t="s">
        <v>40</v>
      </c>
    </row>
    <row r="28" spans="1:16" x14ac:dyDescent="0.25">
      <c r="A28">
        <v>6</v>
      </c>
      <c r="B28">
        <v>1</v>
      </c>
      <c r="C28">
        <v>17</v>
      </c>
      <c r="D28" t="s">
        <v>75</v>
      </c>
      <c r="E28" t="s">
        <v>17</v>
      </c>
      <c r="F28" t="s">
        <v>76</v>
      </c>
      <c r="G28" t="s">
        <v>19</v>
      </c>
      <c r="H28" t="s">
        <v>56</v>
      </c>
      <c r="I28" t="s">
        <v>69</v>
      </c>
      <c r="J28" t="s">
        <v>38</v>
      </c>
      <c r="K28" t="s">
        <v>23</v>
      </c>
      <c r="L28">
        <v>200</v>
      </c>
      <c r="M28">
        <v>5</v>
      </c>
      <c r="N28">
        <v>5</v>
      </c>
      <c r="O28">
        <v>7</v>
      </c>
      <c r="P28" t="s">
        <v>40</v>
      </c>
    </row>
    <row r="29" spans="1:16" x14ac:dyDescent="0.25">
      <c r="A29">
        <v>8</v>
      </c>
      <c r="B29">
        <v>1</v>
      </c>
      <c r="C29">
        <v>22</v>
      </c>
      <c r="D29" t="s">
        <v>41</v>
      </c>
      <c r="E29" t="s">
        <v>36</v>
      </c>
      <c r="F29" t="s">
        <v>77</v>
      </c>
      <c r="G29" t="s">
        <v>68</v>
      </c>
      <c r="H29" t="s">
        <v>56</v>
      </c>
      <c r="I29" t="s">
        <v>78</v>
      </c>
      <c r="J29" t="s">
        <v>38</v>
      </c>
      <c r="K29" t="s">
        <v>74</v>
      </c>
      <c r="L29">
        <v>300</v>
      </c>
      <c r="M29">
        <v>3</v>
      </c>
      <c r="N29">
        <v>4</v>
      </c>
      <c r="O29">
        <v>6</v>
      </c>
      <c r="P29" t="s">
        <v>34</v>
      </c>
    </row>
    <row r="30" spans="1:16" x14ac:dyDescent="0.25">
      <c r="A30">
        <v>3</v>
      </c>
      <c r="B30">
        <v>1</v>
      </c>
      <c r="C30">
        <v>21</v>
      </c>
      <c r="D30" t="s">
        <v>48</v>
      </c>
      <c r="E30" t="s">
        <v>17</v>
      </c>
      <c r="F30" t="s">
        <v>59</v>
      </c>
      <c r="G30" t="s">
        <v>19</v>
      </c>
      <c r="H30" t="s">
        <v>56</v>
      </c>
      <c r="I30" t="s">
        <v>54</v>
      </c>
      <c r="J30" t="s">
        <v>22</v>
      </c>
      <c r="K30" t="s">
        <v>27</v>
      </c>
      <c r="L30" t="s">
        <v>42</v>
      </c>
      <c r="M30">
        <v>5</v>
      </c>
      <c r="N30">
        <v>5</v>
      </c>
      <c r="O30">
        <v>6</v>
      </c>
      <c r="P30" t="s">
        <v>34</v>
      </c>
    </row>
    <row r="31" spans="1:16" x14ac:dyDescent="0.25">
      <c r="A31">
        <v>2</v>
      </c>
      <c r="B31">
        <v>1</v>
      </c>
      <c r="C31">
        <v>23</v>
      </c>
      <c r="D31" t="s">
        <v>61</v>
      </c>
      <c r="E31" t="s">
        <v>36</v>
      </c>
      <c r="F31" t="s">
        <v>79</v>
      </c>
      <c r="G31" t="s">
        <v>19</v>
      </c>
      <c r="H31" t="s">
        <v>80</v>
      </c>
      <c r="I31" t="s">
        <v>60</v>
      </c>
      <c r="J31" t="s">
        <v>22</v>
      </c>
      <c r="K31" t="s">
        <v>74</v>
      </c>
      <c r="L31">
        <v>500</v>
      </c>
      <c r="M31">
        <v>4</v>
      </c>
      <c r="N31">
        <v>5</v>
      </c>
      <c r="O31">
        <v>5</v>
      </c>
      <c r="P31" t="s">
        <v>34</v>
      </c>
    </row>
    <row r="32" spans="1:16" s="3" customFormat="1" x14ac:dyDescent="0.25">
      <c r="A32" s="4"/>
      <c r="B32" s="4"/>
      <c r="C32" s="4"/>
      <c r="D32" s="4"/>
      <c r="E32" s="4"/>
      <c r="F32" s="4"/>
      <c r="G32"/>
      <c r="H32" s="4"/>
      <c r="I32" s="6"/>
      <c r="J32" s="4"/>
      <c r="K32" s="4"/>
      <c r="L32" s="4"/>
      <c r="M32" s="4"/>
      <c r="N32" s="4"/>
      <c r="O32" s="4"/>
      <c r="P32" s="4"/>
    </row>
  </sheetData>
  <conditionalFormatting sqref="A18:A31">
    <cfRule type="duplicateValues" dxfId="35" priority="1"/>
  </conditionalFormatting>
  <pageMargins left="0.7" right="0.7" top="0.75" bottom="0.75" header="0.3" footer="0.3"/>
  <ignoredErrors>
    <ignoredError sqref="M18:M31 N18:N31 O18:O31" listDataValidation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7A2D31C0-FB2B-D149-88F2-ACB416CADB2D}">
          <x14:formula1>
            <xm:f>Lists!$H$1:$H$3</xm:f>
          </x14:formula1>
          <xm:sqref>P33:P1014 P18:P31</xm:sqref>
        </x14:dataValidation>
        <x14:dataValidation type="list" allowBlank="1" xr:uid="{220735F0-B92D-074C-9E04-C9345319A9DB}">
          <x14:formula1>
            <xm:f>Lists!$G$1:$G$11</xm:f>
          </x14:formula1>
          <xm:sqref>M33:O1014 M18:O31</xm:sqref>
        </x14:dataValidation>
        <x14:dataValidation type="list" allowBlank="1" xr:uid="{B45A846E-404C-8041-A562-E35CE5BEC217}">
          <x14:formula1>
            <xm:f>Lists!$E$1:$E$6</xm:f>
          </x14:formula1>
          <xm:sqref>J33:J1014 J18:J29</xm:sqref>
        </x14:dataValidation>
        <x14:dataValidation type="list" allowBlank="1" xr:uid="{E10F7520-D42A-FE4E-8752-684591C244F7}">
          <x14:formula1>
            <xm:f>Lists!$D$1:$D$5</xm:f>
          </x14:formula1>
          <xm:sqref>I33:I1014 I18:I31</xm:sqref>
        </x14:dataValidation>
        <x14:dataValidation type="list" allowBlank="1" xr:uid="{2312F94D-171F-434F-807D-5AC5A796ED8A}">
          <x14:formula1>
            <xm:f>Lists!$C$1:$C$4</xm:f>
          </x14:formula1>
          <xm:sqref>H33:H1014 H18:H31</xm:sqref>
        </x14:dataValidation>
        <x14:dataValidation type="list" allowBlank="1" xr:uid="{AF62176C-14E2-FD42-B310-FC2F14EBB05B}">
          <x14:formula1>
            <xm:f>Lists!$B$1:$B$5</xm:f>
          </x14:formula1>
          <xm:sqref>G33:G1014 G18:G31</xm:sqref>
        </x14:dataValidation>
        <x14:dataValidation type="list" allowBlank="1" xr:uid="{4F8192BF-2AB1-9747-AB97-6A7E4546B35B}">
          <x14:formula1>
            <xm:f>Lists!$A$1:$A$5</xm:f>
          </x14:formula1>
          <xm:sqref>E33:E1014 E18:E31</xm:sqref>
        </x14:dataValidation>
        <x14:dataValidation type="list" allowBlank="1" xr:uid="{96CCA4BD-4B01-F34C-A0F5-3FF3B7885055}">
          <x14:formula1>
            <xm:f>Lists!$F$1:$F$2</xm:f>
          </x14:formula1>
          <xm:sqref>K33:K1014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zoomScale="90" workbookViewId="0">
      <pane ySplit="1" topLeftCell="A2" activePane="bottomLeft" state="frozen"/>
      <selection pane="bottomLeft" activeCell="F31" sqref="F31"/>
    </sheetView>
  </sheetViews>
  <sheetFormatPr baseColWidth="10" defaultColWidth="8.85546875" defaultRowHeight="15" x14ac:dyDescent="0.25"/>
  <cols>
    <col min="1" max="6" width="18" customWidth="1"/>
    <col min="7" max="7" width="26" customWidth="1"/>
    <col min="8" max="8" width="20" customWidth="1"/>
    <col min="9" max="9" width="19" customWidth="1"/>
    <col min="10" max="10" width="27" customWidth="1"/>
    <col min="11" max="11" width="24" customWidth="1"/>
    <col min="12" max="12" width="33" customWidth="1"/>
    <col min="13" max="13" width="30" customWidth="1"/>
    <col min="14" max="14" width="22" customWidth="1"/>
    <col min="15" max="15" width="25" customWidth="1"/>
    <col min="16" max="16" width="24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26</v>
      </c>
      <c r="B2">
        <v>2</v>
      </c>
      <c r="C2">
        <v>25</v>
      </c>
      <c r="D2" t="s">
        <v>35</v>
      </c>
      <c r="E2" t="s">
        <v>17</v>
      </c>
      <c r="F2" t="s">
        <v>42</v>
      </c>
      <c r="G2" t="s">
        <v>19</v>
      </c>
      <c r="H2" t="s">
        <v>80</v>
      </c>
      <c r="I2" t="s">
        <v>57</v>
      </c>
      <c r="J2" t="s">
        <v>81</v>
      </c>
      <c r="K2" t="s">
        <v>82</v>
      </c>
      <c r="L2">
        <v>300</v>
      </c>
      <c r="M2">
        <v>5</v>
      </c>
      <c r="N2">
        <v>2</v>
      </c>
      <c r="O2">
        <v>3</v>
      </c>
      <c r="P2" t="s">
        <v>34</v>
      </c>
    </row>
    <row r="3" spans="1:16" x14ac:dyDescent="0.25">
      <c r="A3">
        <v>3</v>
      </c>
      <c r="B3">
        <v>2</v>
      </c>
      <c r="C3">
        <v>20</v>
      </c>
      <c r="D3" t="s">
        <v>83</v>
      </c>
      <c r="E3" t="s">
        <v>17</v>
      </c>
      <c r="F3" t="s">
        <v>18</v>
      </c>
      <c r="G3" t="s">
        <v>30</v>
      </c>
      <c r="H3" t="s">
        <v>56</v>
      </c>
      <c r="I3" t="s">
        <v>69</v>
      </c>
      <c r="J3" t="s">
        <v>84</v>
      </c>
      <c r="K3" t="s">
        <v>23</v>
      </c>
      <c r="L3">
        <v>600</v>
      </c>
      <c r="M3">
        <v>2</v>
      </c>
      <c r="N3">
        <v>5</v>
      </c>
      <c r="O3">
        <v>9</v>
      </c>
      <c r="P3" t="s">
        <v>40</v>
      </c>
    </row>
    <row r="4" spans="1:16" x14ac:dyDescent="0.25">
      <c r="A4">
        <v>27</v>
      </c>
      <c r="B4">
        <v>2</v>
      </c>
      <c r="C4">
        <v>22</v>
      </c>
      <c r="D4" t="s">
        <v>61</v>
      </c>
      <c r="E4" t="s">
        <v>17</v>
      </c>
      <c r="F4" t="s">
        <v>85</v>
      </c>
      <c r="G4" t="s">
        <v>68</v>
      </c>
      <c r="H4" t="s">
        <v>56</v>
      </c>
      <c r="I4" t="s">
        <v>60</v>
      </c>
      <c r="J4" t="s">
        <v>84</v>
      </c>
      <c r="K4" t="s">
        <v>82</v>
      </c>
      <c r="L4">
        <v>500</v>
      </c>
      <c r="M4">
        <v>6</v>
      </c>
      <c r="N4">
        <v>7</v>
      </c>
      <c r="O4">
        <v>4</v>
      </c>
      <c r="P4" t="s">
        <v>34</v>
      </c>
    </row>
    <row r="5" spans="1:16" x14ac:dyDescent="0.25">
      <c r="A5">
        <v>28</v>
      </c>
      <c r="B5">
        <v>2</v>
      </c>
      <c r="C5">
        <v>19</v>
      </c>
      <c r="D5" t="s">
        <v>86</v>
      </c>
      <c r="E5" t="s">
        <v>36</v>
      </c>
      <c r="F5" t="s">
        <v>77</v>
      </c>
      <c r="G5" t="s">
        <v>19</v>
      </c>
      <c r="H5" t="s">
        <v>56</v>
      </c>
      <c r="I5" t="s">
        <v>69</v>
      </c>
      <c r="J5" t="s">
        <v>84</v>
      </c>
      <c r="K5" t="s">
        <v>82</v>
      </c>
      <c r="L5">
        <v>200</v>
      </c>
      <c r="M5">
        <v>5</v>
      </c>
      <c r="N5">
        <v>6</v>
      </c>
      <c r="O5">
        <v>8</v>
      </c>
      <c r="P5" t="s">
        <v>40</v>
      </c>
    </row>
    <row r="6" spans="1:16" x14ac:dyDescent="0.25">
      <c r="A6">
        <v>29</v>
      </c>
      <c r="B6">
        <v>2</v>
      </c>
      <c r="C6">
        <v>19</v>
      </c>
      <c r="D6" t="s">
        <v>25</v>
      </c>
      <c r="E6" t="s">
        <v>17</v>
      </c>
      <c r="F6" t="s">
        <v>77</v>
      </c>
      <c r="G6" t="s">
        <v>19</v>
      </c>
      <c r="H6" t="s">
        <v>56</v>
      </c>
      <c r="I6" t="s">
        <v>54</v>
      </c>
      <c r="J6" t="s">
        <v>84</v>
      </c>
      <c r="K6" t="s">
        <v>82</v>
      </c>
      <c r="L6">
        <v>300</v>
      </c>
      <c r="M6">
        <v>5</v>
      </c>
      <c r="N6">
        <v>2</v>
      </c>
      <c r="O6">
        <v>8</v>
      </c>
      <c r="P6" t="s">
        <v>40</v>
      </c>
    </row>
    <row r="7" spans="1:16" x14ac:dyDescent="0.25">
      <c r="A7">
        <v>30</v>
      </c>
      <c r="B7">
        <v>2</v>
      </c>
      <c r="C7">
        <v>25</v>
      </c>
      <c r="D7" t="s">
        <v>61</v>
      </c>
      <c r="E7" t="s">
        <v>17</v>
      </c>
      <c r="F7" t="s">
        <v>87</v>
      </c>
      <c r="G7" t="s">
        <v>19</v>
      </c>
      <c r="H7" t="s">
        <v>80</v>
      </c>
      <c r="I7" t="s">
        <v>69</v>
      </c>
      <c r="J7" t="s">
        <v>81</v>
      </c>
      <c r="K7" t="s">
        <v>88</v>
      </c>
      <c r="L7">
        <v>800</v>
      </c>
      <c r="M7">
        <v>7</v>
      </c>
      <c r="N7">
        <v>6</v>
      </c>
      <c r="O7">
        <v>8</v>
      </c>
      <c r="P7" t="s">
        <v>40</v>
      </c>
    </row>
    <row r="8" spans="1:16" x14ac:dyDescent="0.25">
      <c r="A8">
        <v>25</v>
      </c>
      <c r="B8">
        <v>2</v>
      </c>
      <c r="C8">
        <v>23</v>
      </c>
      <c r="D8" t="s">
        <v>41</v>
      </c>
      <c r="E8" t="s">
        <v>36</v>
      </c>
      <c r="F8" t="s">
        <v>42</v>
      </c>
      <c r="G8" t="s">
        <v>68</v>
      </c>
      <c r="H8" t="s">
        <v>56</v>
      </c>
      <c r="I8" t="s">
        <v>57</v>
      </c>
      <c r="J8" t="s">
        <v>81</v>
      </c>
      <c r="K8" t="s">
        <v>23</v>
      </c>
      <c r="L8">
        <v>120</v>
      </c>
      <c r="M8">
        <v>7</v>
      </c>
      <c r="N8">
        <v>3</v>
      </c>
      <c r="O8">
        <v>3</v>
      </c>
      <c r="P8" t="s">
        <v>40</v>
      </c>
    </row>
    <row r="9" spans="1:16" x14ac:dyDescent="0.25">
      <c r="A9">
        <v>24</v>
      </c>
      <c r="B9">
        <v>2</v>
      </c>
      <c r="C9">
        <v>28</v>
      </c>
      <c r="D9" t="s">
        <v>61</v>
      </c>
      <c r="E9" t="s">
        <v>36</v>
      </c>
      <c r="F9" t="s">
        <v>87</v>
      </c>
      <c r="G9" t="s">
        <v>47</v>
      </c>
      <c r="H9" t="s">
        <v>80</v>
      </c>
      <c r="I9" t="s">
        <v>57</v>
      </c>
      <c r="J9" t="s">
        <v>81</v>
      </c>
      <c r="K9" t="s">
        <v>89</v>
      </c>
      <c r="L9" t="s">
        <v>90</v>
      </c>
      <c r="M9">
        <v>8</v>
      </c>
      <c r="N9">
        <v>5</v>
      </c>
      <c r="O9">
        <v>4</v>
      </c>
      <c r="P9" t="s">
        <v>34</v>
      </c>
    </row>
    <row r="10" spans="1:16" x14ac:dyDescent="0.25">
      <c r="A10">
        <v>23</v>
      </c>
      <c r="B10">
        <v>2</v>
      </c>
      <c r="C10">
        <v>24</v>
      </c>
      <c r="D10" t="s">
        <v>86</v>
      </c>
      <c r="E10" t="s">
        <v>36</v>
      </c>
      <c r="F10" t="s">
        <v>42</v>
      </c>
      <c r="G10" t="s">
        <v>19</v>
      </c>
      <c r="H10" t="s">
        <v>56</v>
      </c>
      <c r="I10" t="s">
        <v>57</v>
      </c>
      <c r="J10" t="s">
        <v>91</v>
      </c>
      <c r="K10" t="s">
        <v>23</v>
      </c>
      <c r="L10">
        <v>500</v>
      </c>
      <c r="M10">
        <v>3</v>
      </c>
      <c r="N10">
        <v>6</v>
      </c>
      <c r="O10">
        <v>7</v>
      </c>
      <c r="P10" t="s">
        <v>40</v>
      </c>
    </row>
    <row r="11" spans="1:16" x14ac:dyDescent="0.25">
      <c r="A11">
        <v>22</v>
      </c>
      <c r="B11">
        <v>2</v>
      </c>
      <c r="C11">
        <v>22</v>
      </c>
      <c r="D11" t="s">
        <v>61</v>
      </c>
      <c r="E11" t="s">
        <v>36</v>
      </c>
      <c r="F11" t="s">
        <v>92</v>
      </c>
      <c r="G11" t="s">
        <v>30</v>
      </c>
      <c r="H11" t="s">
        <v>56</v>
      </c>
      <c r="I11" t="s">
        <v>69</v>
      </c>
      <c r="J11" t="s">
        <v>84</v>
      </c>
      <c r="K11" t="s">
        <v>88</v>
      </c>
      <c r="L11">
        <v>650</v>
      </c>
      <c r="M11">
        <v>1</v>
      </c>
      <c r="N11">
        <v>5</v>
      </c>
      <c r="O11">
        <v>3</v>
      </c>
      <c r="P11" t="s">
        <v>40</v>
      </c>
    </row>
    <row r="12" spans="1:16" x14ac:dyDescent="0.25">
      <c r="A12">
        <v>21</v>
      </c>
      <c r="B12">
        <v>2</v>
      </c>
      <c r="C12">
        <v>26</v>
      </c>
      <c r="D12" t="s">
        <v>93</v>
      </c>
      <c r="E12" t="s">
        <v>36</v>
      </c>
      <c r="F12" t="s">
        <v>94</v>
      </c>
      <c r="G12" t="s">
        <v>30</v>
      </c>
      <c r="H12" t="s">
        <v>80</v>
      </c>
      <c r="I12" t="s">
        <v>57</v>
      </c>
      <c r="J12" t="s">
        <v>81</v>
      </c>
      <c r="K12" t="s">
        <v>82</v>
      </c>
      <c r="L12">
        <v>600</v>
      </c>
      <c r="M12">
        <v>1</v>
      </c>
      <c r="N12">
        <v>7</v>
      </c>
      <c r="O12">
        <v>7</v>
      </c>
      <c r="P12" t="s">
        <v>24</v>
      </c>
    </row>
    <row r="13" spans="1:16" x14ac:dyDescent="0.25">
      <c r="A13">
        <v>20</v>
      </c>
      <c r="B13">
        <v>2</v>
      </c>
      <c r="C13">
        <v>22</v>
      </c>
      <c r="D13" t="s">
        <v>41</v>
      </c>
      <c r="E13" t="s">
        <v>17</v>
      </c>
      <c r="F13" t="s">
        <v>62</v>
      </c>
      <c r="G13" t="s">
        <v>68</v>
      </c>
      <c r="H13" t="s">
        <v>56</v>
      </c>
      <c r="I13" t="s">
        <v>69</v>
      </c>
      <c r="J13" t="s">
        <v>81</v>
      </c>
      <c r="K13" t="s">
        <v>82</v>
      </c>
      <c r="L13">
        <v>200</v>
      </c>
      <c r="M13">
        <v>4</v>
      </c>
      <c r="N13">
        <v>5</v>
      </c>
      <c r="O13">
        <v>3</v>
      </c>
      <c r="P13" t="s">
        <v>34</v>
      </c>
    </row>
    <row r="14" spans="1:16" x14ac:dyDescent="0.25">
      <c r="A14">
        <v>19</v>
      </c>
      <c r="B14">
        <v>2</v>
      </c>
      <c r="C14">
        <v>22</v>
      </c>
      <c r="D14" t="s">
        <v>95</v>
      </c>
      <c r="E14" t="s">
        <v>36</v>
      </c>
      <c r="F14" t="s">
        <v>96</v>
      </c>
      <c r="G14" t="s">
        <v>19</v>
      </c>
      <c r="H14" t="s">
        <v>80</v>
      </c>
      <c r="I14" t="s">
        <v>69</v>
      </c>
      <c r="J14" t="s">
        <v>81</v>
      </c>
      <c r="K14" t="s">
        <v>89</v>
      </c>
      <c r="L14" t="s">
        <v>97</v>
      </c>
      <c r="M14">
        <v>5</v>
      </c>
      <c r="N14">
        <v>5</v>
      </c>
      <c r="O14">
        <v>6</v>
      </c>
      <c r="P14" t="s">
        <v>40</v>
      </c>
    </row>
    <row r="15" spans="1:16" x14ac:dyDescent="0.25">
      <c r="A15">
        <v>18</v>
      </c>
      <c r="B15">
        <v>2</v>
      </c>
      <c r="C15">
        <v>23</v>
      </c>
      <c r="D15" t="s">
        <v>35</v>
      </c>
      <c r="E15" t="s">
        <v>36</v>
      </c>
      <c r="F15" t="s">
        <v>98</v>
      </c>
      <c r="G15" t="s">
        <v>19</v>
      </c>
      <c r="H15" t="s">
        <v>56</v>
      </c>
      <c r="I15" t="s">
        <v>60</v>
      </c>
      <c r="J15" t="s">
        <v>84</v>
      </c>
      <c r="K15" t="s">
        <v>88</v>
      </c>
      <c r="L15">
        <v>1000</v>
      </c>
      <c r="M15">
        <v>1</v>
      </c>
      <c r="N15">
        <v>7</v>
      </c>
      <c r="O15">
        <v>5</v>
      </c>
      <c r="P15" t="s">
        <v>40</v>
      </c>
    </row>
    <row r="16" spans="1:16" x14ac:dyDescent="0.25">
      <c r="A16">
        <v>16</v>
      </c>
      <c r="B16">
        <v>2</v>
      </c>
      <c r="C16">
        <v>23</v>
      </c>
      <c r="D16" t="s">
        <v>83</v>
      </c>
      <c r="E16" t="s">
        <v>17</v>
      </c>
      <c r="F16" t="s">
        <v>42</v>
      </c>
      <c r="G16" t="s">
        <v>68</v>
      </c>
      <c r="H16" t="s">
        <v>56</v>
      </c>
      <c r="I16" t="s">
        <v>69</v>
      </c>
      <c r="J16" t="s">
        <v>84</v>
      </c>
      <c r="K16" t="s">
        <v>23</v>
      </c>
      <c r="L16">
        <v>500</v>
      </c>
      <c r="M16">
        <v>6</v>
      </c>
      <c r="N16">
        <v>3</v>
      </c>
      <c r="O16">
        <v>6</v>
      </c>
      <c r="P16" t="s">
        <v>34</v>
      </c>
    </row>
    <row r="17" spans="1:16" x14ac:dyDescent="0.25">
      <c r="A17">
        <v>17</v>
      </c>
      <c r="B17">
        <v>2</v>
      </c>
      <c r="C17">
        <v>21</v>
      </c>
      <c r="D17" t="s">
        <v>86</v>
      </c>
      <c r="E17" t="s">
        <v>36</v>
      </c>
      <c r="F17" t="s">
        <v>55</v>
      </c>
      <c r="G17" t="s">
        <v>19</v>
      </c>
      <c r="H17" t="s">
        <v>99</v>
      </c>
      <c r="I17" t="s">
        <v>60</v>
      </c>
      <c r="J17" t="s">
        <v>84</v>
      </c>
      <c r="K17" t="s">
        <v>100</v>
      </c>
      <c r="L17">
        <v>500</v>
      </c>
      <c r="M17">
        <v>4</v>
      </c>
      <c r="N17">
        <v>7</v>
      </c>
      <c r="O17">
        <v>6</v>
      </c>
      <c r="P17" t="s">
        <v>34</v>
      </c>
    </row>
    <row r="18" spans="1:16" x14ac:dyDescent="0.25">
      <c r="A18">
        <v>15</v>
      </c>
      <c r="B18">
        <v>2</v>
      </c>
      <c r="C18">
        <v>23</v>
      </c>
      <c r="D18" t="s">
        <v>101</v>
      </c>
      <c r="E18" t="s">
        <v>17</v>
      </c>
      <c r="F18" t="s">
        <v>102</v>
      </c>
      <c r="G18" t="s">
        <v>68</v>
      </c>
      <c r="H18" t="s">
        <v>80</v>
      </c>
      <c r="I18" t="s">
        <v>57</v>
      </c>
      <c r="J18" t="s">
        <v>81</v>
      </c>
      <c r="K18" t="s">
        <v>82</v>
      </c>
      <c r="L18">
        <v>3000</v>
      </c>
      <c r="M18">
        <v>10</v>
      </c>
      <c r="N18">
        <v>1</v>
      </c>
      <c r="O18">
        <v>9</v>
      </c>
      <c r="P18" t="s">
        <v>34</v>
      </c>
    </row>
    <row r="19" spans="1:16" x14ac:dyDescent="0.25">
      <c r="A19">
        <v>14</v>
      </c>
      <c r="B19">
        <v>2</v>
      </c>
      <c r="C19">
        <v>36</v>
      </c>
      <c r="D19" t="s">
        <v>61</v>
      </c>
      <c r="E19" t="s">
        <v>17</v>
      </c>
      <c r="F19" t="s">
        <v>42</v>
      </c>
      <c r="G19" t="s">
        <v>68</v>
      </c>
      <c r="H19" t="s">
        <v>31</v>
      </c>
      <c r="I19" t="s">
        <v>78</v>
      </c>
      <c r="J19" t="s">
        <v>103</v>
      </c>
      <c r="K19" t="s">
        <v>39</v>
      </c>
      <c r="L19">
        <v>1800</v>
      </c>
      <c r="M19">
        <v>6</v>
      </c>
      <c r="N19">
        <v>8</v>
      </c>
      <c r="O19">
        <v>8</v>
      </c>
      <c r="P19" t="s">
        <v>24</v>
      </c>
    </row>
    <row r="20" spans="1:16" x14ac:dyDescent="0.25">
      <c r="A20">
        <v>13</v>
      </c>
      <c r="B20">
        <v>2</v>
      </c>
      <c r="C20">
        <v>26</v>
      </c>
      <c r="D20" t="s">
        <v>35</v>
      </c>
      <c r="E20" t="s">
        <v>36</v>
      </c>
      <c r="F20" t="s">
        <v>87</v>
      </c>
      <c r="G20" t="s">
        <v>104</v>
      </c>
      <c r="H20" t="s">
        <v>80</v>
      </c>
      <c r="I20" t="s">
        <v>57</v>
      </c>
      <c r="J20" t="s">
        <v>105</v>
      </c>
      <c r="K20" t="s">
        <v>88</v>
      </c>
      <c r="L20" s="2" t="s">
        <v>42</v>
      </c>
      <c r="M20">
        <v>7</v>
      </c>
      <c r="N20">
        <v>10</v>
      </c>
      <c r="O20">
        <v>8</v>
      </c>
      <c r="P20" t="s">
        <v>34</v>
      </c>
    </row>
    <row r="21" spans="1:16" x14ac:dyDescent="0.25">
      <c r="A21">
        <v>11</v>
      </c>
      <c r="B21">
        <v>2</v>
      </c>
      <c r="C21">
        <v>28</v>
      </c>
      <c r="D21" t="s">
        <v>106</v>
      </c>
      <c r="E21" t="s">
        <v>36</v>
      </c>
      <c r="F21" t="s">
        <v>107</v>
      </c>
      <c r="G21" t="s">
        <v>68</v>
      </c>
      <c r="H21" t="s">
        <v>80</v>
      </c>
      <c r="I21" t="s">
        <v>60</v>
      </c>
      <c r="J21" t="s">
        <v>81</v>
      </c>
      <c r="K21" t="s">
        <v>23</v>
      </c>
      <c r="L21" s="2">
        <v>55</v>
      </c>
      <c r="M21">
        <v>6</v>
      </c>
      <c r="N21">
        <v>6</v>
      </c>
      <c r="O21">
        <v>6</v>
      </c>
      <c r="P21" t="s">
        <v>40</v>
      </c>
    </row>
    <row r="22" spans="1:16" x14ac:dyDescent="0.25">
      <c r="A22">
        <v>10</v>
      </c>
      <c r="B22">
        <v>2</v>
      </c>
      <c r="C22">
        <v>20</v>
      </c>
      <c r="D22" t="s">
        <v>41</v>
      </c>
      <c r="E22" t="s">
        <v>36</v>
      </c>
      <c r="F22" t="s">
        <v>42</v>
      </c>
      <c r="G22" t="s">
        <v>19</v>
      </c>
      <c r="H22" t="s">
        <v>56</v>
      </c>
      <c r="I22" t="s">
        <v>60</v>
      </c>
      <c r="J22" t="s">
        <v>84</v>
      </c>
      <c r="K22" t="s">
        <v>82</v>
      </c>
      <c r="L22" s="2">
        <v>100</v>
      </c>
      <c r="M22">
        <v>5</v>
      </c>
      <c r="N22">
        <v>7</v>
      </c>
      <c r="O22">
        <v>6</v>
      </c>
      <c r="P22" t="s">
        <v>40</v>
      </c>
    </row>
    <row r="23" spans="1:16" x14ac:dyDescent="0.25">
      <c r="A23">
        <v>12</v>
      </c>
      <c r="B23">
        <v>2</v>
      </c>
      <c r="C23">
        <v>19</v>
      </c>
      <c r="D23" t="s">
        <v>61</v>
      </c>
      <c r="E23" t="s">
        <v>36</v>
      </c>
      <c r="F23" t="s">
        <v>77</v>
      </c>
      <c r="G23" t="s">
        <v>19</v>
      </c>
      <c r="H23" t="s">
        <v>56</v>
      </c>
      <c r="I23" t="s">
        <v>69</v>
      </c>
      <c r="J23" t="s">
        <v>84</v>
      </c>
      <c r="K23" t="s">
        <v>100</v>
      </c>
      <c r="L23" s="2">
        <v>500</v>
      </c>
      <c r="M23">
        <v>6</v>
      </c>
      <c r="N23">
        <v>4</v>
      </c>
      <c r="O23">
        <v>3</v>
      </c>
      <c r="P23" t="s">
        <v>40</v>
      </c>
    </row>
    <row r="24" spans="1:16" x14ac:dyDescent="0.25">
      <c r="A24">
        <v>9</v>
      </c>
      <c r="B24">
        <v>2</v>
      </c>
      <c r="C24">
        <v>22</v>
      </c>
      <c r="D24" t="s">
        <v>108</v>
      </c>
      <c r="E24" t="s">
        <v>17</v>
      </c>
      <c r="F24" t="s">
        <v>18</v>
      </c>
      <c r="G24" t="s">
        <v>68</v>
      </c>
      <c r="H24" t="s">
        <v>56</v>
      </c>
      <c r="I24" t="s">
        <v>69</v>
      </c>
      <c r="J24" t="s">
        <v>84</v>
      </c>
      <c r="K24" t="s">
        <v>82</v>
      </c>
      <c r="L24" s="2">
        <v>300</v>
      </c>
      <c r="M24">
        <v>4</v>
      </c>
      <c r="N24">
        <v>8</v>
      </c>
      <c r="O24">
        <v>7</v>
      </c>
      <c r="P24" t="s">
        <v>34</v>
      </c>
    </row>
    <row r="25" spans="1:16" x14ac:dyDescent="0.25">
      <c r="A25">
        <v>8</v>
      </c>
      <c r="B25">
        <v>2</v>
      </c>
      <c r="C25">
        <v>22</v>
      </c>
      <c r="D25" t="s">
        <v>48</v>
      </c>
      <c r="E25" t="s">
        <v>36</v>
      </c>
      <c r="F25" t="s">
        <v>62</v>
      </c>
      <c r="G25" t="s">
        <v>47</v>
      </c>
      <c r="H25" t="s">
        <v>56</v>
      </c>
      <c r="I25" t="s">
        <v>69</v>
      </c>
      <c r="J25" t="s">
        <v>81</v>
      </c>
      <c r="K25" t="s">
        <v>88</v>
      </c>
      <c r="L25" s="2" t="s">
        <v>42</v>
      </c>
      <c r="M25">
        <v>3</v>
      </c>
      <c r="N25">
        <v>6</v>
      </c>
      <c r="O25">
        <v>7</v>
      </c>
      <c r="P25" t="s">
        <v>34</v>
      </c>
    </row>
    <row r="26" spans="1:16" x14ac:dyDescent="0.25">
      <c r="A26">
        <v>7</v>
      </c>
      <c r="B26">
        <v>2</v>
      </c>
      <c r="C26">
        <v>20</v>
      </c>
      <c r="D26" t="s">
        <v>109</v>
      </c>
      <c r="E26" t="s">
        <v>36</v>
      </c>
      <c r="F26" t="s">
        <v>77</v>
      </c>
      <c r="G26" t="s">
        <v>19</v>
      </c>
      <c r="H26" t="s">
        <v>56</v>
      </c>
      <c r="I26" t="s">
        <v>69</v>
      </c>
      <c r="J26" t="s">
        <v>84</v>
      </c>
      <c r="K26" t="s">
        <v>82</v>
      </c>
      <c r="L26" s="2">
        <v>400</v>
      </c>
      <c r="M26">
        <v>2</v>
      </c>
      <c r="N26">
        <v>7</v>
      </c>
      <c r="O26">
        <v>3</v>
      </c>
      <c r="P26" t="s">
        <v>34</v>
      </c>
    </row>
    <row r="27" spans="1:16" x14ac:dyDescent="0.25">
      <c r="A27">
        <v>6</v>
      </c>
      <c r="B27">
        <v>2</v>
      </c>
      <c r="C27">
        <v>28</v>
      </c>
      <c r="D27" t="s">
        <v>48</v>
      </c>
      <c r="E27" t="s">
        <v>36</v>
      </c>
      <c r="F27" t="s">
        <v>18</v>
      </c>
      <c r="G27" t="s">
        <v>42</v>
      </c>
      <c r="H27" t="s">
        <v>31</v>
      </c>
      <c r="I27" t="s">
        <v>60</v>
      </c>
      <c r="J27" t="s">
        <v>105</v>
      </c>
      <c r="K27" t="s">
        <v>88</v>
      </c>
      <c r="L27" s="2">
        <v>400</v>
      </c>
      <c r="M27">
        <v>3</v>
      </c>
      <c r="N27">
        <v>3</v>
      </c>
      <c r="O27">
        <v>9</v>
      </c>
      <c r="P27" t="s">
        <v>34</v>
      </c>
    </row>
    <row r="28" spans="1:16" x14ac:dyDescent="0.25">
      <c r="A28">
        <v>5</v>
      </c>
      <c r="B28">
        <v>2</v>
      </c>
      <c r="C28">
        <v>24</v>
      </c>
      <c r="D28" t="s">
        <v>95</v>
      </c>
      <c r="E28" t="s">
        <v>36</v>
      </c>
      <c r="F28" t="s">
        <v>110</v>
      </c>
      <c r="G28" t="s">
        <v>19</v>
      </c>
      <c r="H28" t="s">
        <v>80</v>
      </c>
      <c r="I28" t="s">
        <v>69</v>
      </c>
      <c r="J28" t="s">
        <v>81</v>
      </c>
      <c r="K28" t="s">
        <v>82</v>
      </c>
      <c r="L28" s="2">
        <v>400</v>
      </c>
      <c r="M28">
        <v>1</v>
      </c>
      <c r="N28">
        <v>7</v>
      </c>
      <c r="O28">
        <v>5</v>
      </c>
      <c r="P28" t="s">
        <v>24</v>
      </c>
    </row>
    <row r="29" spans="1:16" x14ac:dyDescent="0.25">
      <c r="A29">
        <v>4</v>
      </c>
      <c r="B29">
        <v>2</v>
      </c>
      <c r="C29">
        <v>21</v>
      </c>
      <c r="D29" t="s">
        <v>41</v>
      </c>
      <c r="E29" t="s">
        <v>36</v>
      </c>
      <c r="F29" t="s">
        <v>111</v>
      </c>
      <c r="G29" t="s">
        <v>30</v>
      </c>
      <c r="H29" t="s">
        <v>56</v>
      </c>
      <c r="I29" t="s">
        <v>57</v>
      </c>
      <c r="J29" t="s">
        <v>84</v>
      </c>
      <c r="K29" t="s">
        <v>88</v>
      </c>
      <c r="L29" s="2">
        <v>400</v>
      </c>
      <c r="M29">
        <v>1</v>
      </c>
      <c r="N29">
        <v>2</v>
      </c>
      <c r="O29">
        <v>2</v>
      </c>
      <c r="P29" t="s">
        <v>34</v>
      </c>
    </row>
    <row r="30" spans="1:16" x14ac:dyDescent="0.25">
      <c r="A30">
        <v>1</v>
      </c>
      <c r="B30">
        <v>2</v>
      </c>
      <c r="C30">
        <v>22</v>
      </c>
      <c r="D30" t="s">
        <v>112</v>
      </c>
      <c r="E30" t="s">
        <v>17</v>
      </c>
      <c r="F30" t="s">
        <v>113</v>
      </c>
      <c r="G30" t="s">
        <v>47</v>
      </c>
      <c r="H30" t="s">
        <v>56</v>
      </c>
      <c r="I30" t="s">
        <v>54</v>
      </c>
      <c r="J30" t="s">
        <v>84</v>
      </c>
      <c r="K30" t="s">
        <v>100</v>
      </c>
      <c r="L30" s="2">
        <v>5000</v>
      </c>
      <c r="M30">
        <v>5</v>
      </c>
      <c r="N30">
        <v>7</v>
      </c>
      <c r="O30">
        <v>6</v>
      </c>
      <c r="P30" t="s">
        <v>40</v>
      </c>
    </row>
    <row r="31" spans="1:16" x14ac:dyDescent="0.25">
      <c r="A31">
        <v>2</v>
      </c>
      <c r="B31">
        <v>2</v>
      </c>
      <c r="C31">
        <v>29</v>
      </c>
      <c r="D31" t="s">
        <v>41</v>
      </c>
      <c r="E31" t="s">
        <v>17</v>
      </c>
      <c r="F31" t="s">
        <v>42</v>
      </c>
      <c r="G31" t="s">
        <v>68</v>
      </c>
      <c r="H31" t="s">
        <v>56</v>
      </c>
      <c r="I31" t="s">
        <v>78</v>
      </c>
      <c r="J31" t="s">
        <v>81</v>
      </c>
      <c r="K31" t="s">
        <v>82</v>
      </c>
      <c r="L31" s="2" t="s">
        <v>114</v>
      </c>
      <c r="M31">
        <v>10</v>
      </c>
      <c r="N31">
        <v>3</v>
      </c>
      <c r="O31">
        <v>10</v>
      </c>
      <c r="P31" t="s">
        <v>34</v>
      </c>
    </row>
    <row r="32" spans="1:16" s="3" customForma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</sheetData>
  <conditionalFormatting sqref="A2:A31">
    <cfRule type="duplicateValues" dxfId="34" priority="1"/>
  </conditionalFormatting>
  <conditionalFormatting sqref="A2:P31">
    <cfRule type="containsBlanks" dxfId="33" priority="2">
      <formula>LEN(TRIM(A2))=0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000-000005000000}">
          <x14:formula1>
            <xm:f>Lists!$F$1:$F$2</xm:f>
          </x14:formula1>
          <xm:sqref>K33:K1014</xm:sqref>
        </x14:dataValidation>
        <x14:dataValidation type="list" allowBlank="1" xr:uid="{00000000-0002-0000-0000-000000000000}">
          <x14:formula1>
            <xm:f>Lists!$A$1:$A$5</xm:f>
          </x14:formula1>
          <xm:sqref>E2:E31 E33:E1014</xm:sqref>
        </x14:dataValidation>
        <x14:dataValidation type="list" allowBlank="1" xr:uid="{00000000-0002-0000-0000-000001000000}">
          <x14:formula1>
            <xm:f>Lists!$B$1:$B$5</xm:f>
          </x14:formula1>
          <xm:sqref>G33:G1014 G2:G26 G28:G31</xm:sqref>
        </x14:dataValidation>
        <x14:dataValidation type="list" allowBlank="1" xr:uid="{00000000-0002-0000-0000-000002000000}">
          <x14:formula1>
            <xm:f>Lists!$C$1:$C$4</xm:f>
          </x14:formula1>
          <xm:sqref>H2:H31 H33:H1014</xm:sqref>
        </x14:dataValidation>
        <x14:dataValidation type="list" allowBlank="1" xr:uid="{00000000-0002-0000-0000-000003000000}">
          <x14:formula1>
            <xm:f>Lists!$D$1:$D$5</xm:f>
          </x14:formula1>
          <xm:sqref>I2:I31 I33:I1014</xm:sqref>
        </x14:dataValidation>
        <x14:dataValidation type="list" allowBlank="1" xr:uid="{00000000-0002-0000-0000-000004000000}">
          <x14:formula1>
            <xm:f>Lists!$E$1:$E$6</xm:f>
          </x14:formula1>
          <xm:sqref>J2:J31 J33:J1014</xm:sqref>
        </x14:dataValidation>
        <x14:dataValidation type="list" allowBlank="1" xr:uid="{00000000-0002-0000-0000-00000A000000}">
          <x14:formula1>
            <xm:f>Lists!$G$1:$G$11</xm:f>
          </x14:formula1>
          <xm:sqref>M2:O31 M33:O1014</xm:sqref>
        </x14:dataValidation>
        <x14:dataValidation type="list" allowBlank="1" xr:uid="{00000000-0002-0000-0000-00000D000000}">
          <x14:formula1>
            <xm:f>Lists!$H$1:$H$3</xm:f>
          </x14:formula1>
          <xm:sqref>P2:P31 P33:P1014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32DF0-35C3-9B41-8B0C-A7904054FA1A}">
  <dimension ref="A1:P32"/>
  <sheetViews>
    <sheetView topLeftCell="A6" workbookViewId="0">
      <selection activeCell="L23" sqref="L23"/>
    </sheetView>
  </sheetViews>
  <sheetFormatPr baseColWidth="10" defaultColWidth="8.85546875" defaultRowHeight="15" x14ac:dyDescent="0.25"/>
  <cols>
    <col min="1" max="6" width="18" customWidth="1"/>
    <col min="7" max="7" width="26" customWidth="1"/>
    <col min="8" max="8" width="20" customWidth="1"/>
    <col min="9" max="9" width="19" customWidth="1"/>
    <col min="10" max="10" width="27" customWidth="1"/>
    <col min="11" max="11" width="24" customWidth="1"/>
    <col min="12" max="12" width="33" customWidth="1"/>
    <col min="13" max="13" width="30" customWidth="1"/>
    <col min="14" max="14" width="22" customWidth="1"/>
    <col min="15" max="15" width="25" customWidth="1"/>
    <col min="16" max="16" width="24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f>ROW() - ROW(Table134[[#Headers],[Booth_Number]])</f>
        <v>1</v>
      </c>
      <c r="B2">
        <v>3</v>
      </c>
      <c r="C2">
        <v>21</v>
      </c>
      <c r="D2" t="s">
        <v>115</v>
      </c>
      <c r="E2" t="s">
        <v>17</v>
      </c>
      <c r="F2" t="s">
        <v>77</v>
      </c>
      <c r="G2" t="s">
        <v>19</v>
      </c>
      <c r="H2" t="s">
        <v>56</v>
      </c>
      <c r="I2" t="s">
        <v>60</v>
      </c>
      <c r="J2" t="s">
        <v>81</v>
      </c>
      <c r="K2" t="s">
        <v>116</v>
      </c>
      <c r="L2">
        <v>700</v>
      </c>
      <c r="M2" s="7" t="s">
        <v>42</v>
      </c>
      <c r="N2" s="7" t="s">
        <v>42</v>
      </c>
      <c r="O2" s="7" t="s">
        <v>42</v>
      </c>
      <c r="P2" s="7" t="s">
        <v>42</v>
      </c>
    </row>
    <row r="3" spans="1:16" x14ac:dyDescent="0.25">
      <c r="A3">
        <f>ROW() - ROW(Table134[[#Headers],[Booth_Number]])</f>
        <v>2</v>
      </c>
      <c r="B3">
        <v>3</v>
      </c>
      <c r="C3">
        <v>21</v>
      </c>
      <c r="D3" t="s">
        <v>117</v>
      </c>
      <c r="E3" t="s">
        <v>17</v>
      </c>
      <c r="F3" s="2" t="s">
        <v>42</v>
      </c>
      <c r="G3" t="s">
        <v>19</v>
      </c>
      <c r="H3" t="s">
        <v>56</v>
      </c>
      <c r="I3" t="s">
        <v>69</v>
      </c>
      <c r="J3" t="s">
        <v>84</v>
      </c>
      <c r="K3" t="s">
        <v>88</v>
      </c>
      <c r="L3">
        <v>0</v>
      </c>
      <c r="M3">
        <v>7</v>
      </c>
      <c r="N3">
        <v>3</v>
      </c>
      <c r="O3">
        <v>7</v>
      </c>
      <c r="P3" t="s">
        <v>34</v>
      </c>
    </row>
    <row r="4" spans="1:16" x14ac:dyDescent="0.25">
      <c r="A4">
        <f>ROW() - ROW(Table134[[#Headers],[Booth_Number]])</f>
        <v>3</v>
      </c>
      <c r="B4">
        <v>3</v>
      </c>
      <c r="C4">
        <v>18</v>
      </c>
      <c r="D4" t="s">
        <v>93</v>
      </c>
      <c r="E4" t="s">
        <v>36</v>
      </c>
      <c r="F4" s="2" t="s">
        <v>42</v>
      </c>
      <c r="G4" t="s">
        <v>19</v>
      </c>
      <c r="H4" t="s">
        <v>56</v>
      </c>
      <c r="I4" t="s">
        <v>69</v>
      </c>
      <c r="J4" t="s">
        <v>84</v>
      </c>
      <c r="K4" t="s">
        <v>23</v>
      </c>
      <c r="L4">
        <v>300</v>
      </c>
      <c r="M4">
        <v>5</v>
      </c>
      <c r="N4">
        <v>5</v>
      </c>
      <c r="O4">
        <v>6</v>
      </c>
      <c r="P4" t="s">
        <v>40</v>
      </c>
    </row>
    <row r="5" spans="1:16" x14ac:dyDescent="0.25">
      <c r="A5">
        <f>ROW() - ROW(Table134[[#Headers],[Booth_Number]])</f>
        <v>4</v>
      </c>
      <c r="B5">
        <v>3</v>
      </c>
      <c r="C5">
        <v>21</v>
      </c>
      <c r="D5" t="s">
        <v>63</v>
      </c>
      <c r="E5" t="s">
        <v>17</v>
      </c>
      <c r="F5" t="s">
        <v>118</v>
      </c>
      <c r="G5" t="s">
        <v>68</v>
      </c>
      <c r="H5" t="s">
        <v>56</v>
      </c>
      <c r="I5" t="s">
        <v>54</v>
      </c>
      <c r="J5" t="s">
        <v>84</v>
      </c>
      <c r="K5" t="s">
        <v>116</v>
      </c>
      <c r="L5">
        <v>600</v>
      </c>
      <c r="M5">
        <v>7</v>
      </c>
      <c r="N5">
        <v>3</v>
      </c>
      <c r="O5">
        <v>5</v>
      </c>
      <c r="P5" t="s">
        <v>34</v>
      </c>
    </row>
    <row r="6" spans="1:16" x14ac:dyDescent="0.25">
      <c r="A6">
        <f>ROW() - ROW(Table134[[#Headers],[Booth_Number]])</f>
        <v>5</v>
      </c>
      <c r="B6">
        <v>3</v>
      </c>
      <c r="C6">
        <v>39</v>
      </c>
      <c r="D6" t="s">
        <v>61</v>
      </c>
      <c r="E6" t="s">
        <v>17</v>
      </c>
      <c r="F6" s="2" t="s">
        <v>151</v>
      </c>
      <c r="G6" s="2" t="s">
        <v>151</v>
      </c>
      <c r="H6" t="s">
        <v>31</v>
      </c>
      <c r="I6" t="s">
        <v>78</v>
      </c>
      <c r="J6" t="s">
        <v>84</v>
      </c>
      <c r="K6" t="s">
        <v>88</v>
      </c>
      <c r="L6">
        <v>2000</v>
      </c>
      <c r="M6">
        <v>0</v>
      </c>
      <c r="N6">
        <v>7</v>
      </c>
      <c r="O6">
        <v>9</v>
      </c>
      <c r="P6" t="s">
        <v>34</v>
      </c>
    </row>
    <row r="7" spans="1:16" x14ac:dyDescent="0.25">
      <c r="A7">
        <f>ROW() - ROW(Table134[[#Headers],[Booth_Number]])</f>
        <v>6</v>
      </c>
      <c r="B7">
        <v>3</v>
      </c>
      <c r="C7">
        <v>23</v>
      </c>
      <c r="D7" t="s">
        <v>61</v>
      </c>
      <c r="E7" t="s">
        <v>36</v>
      </c>
      <c r="F7" t="s">
        <v>119</v>
      </c>
      <c r="G7" t="s">
        <v>19</v>
      </c>
      <c r="H7" t="s">
        <v>80</v>
      </c>
      <c r="I7" t="s">
        <v>69</v>
      </c>
      <c r="J7" t="s">
        <v>81</v>
      </c>
      <c r="K7" t="s">
        <v>88</v>
      </c>
      <c r="L7">
        <v>500</v>
      </c>
      <c r="M7">
        <v>1</v>
      </c>
      <c r="N7">
        <v>2</v>
      </c>
      <c r="O7">
        <v>1</v>
      </c>
      <c r="P7" t="s">
        <v>34</v>
      </c>
    </row>
    <row r="8" spans="1:16" x14ac:dyDescent="0.25">
      <c r="A8">
        <f>ROW() - ROW(Table134[[#Headers],[Booth_Number]])</f>
        <v>7</v>
      </c>
      <c r="B8">
        <v>3</v>
      </c>
      <c r="C8">
        <v>25</v>
      </c>
      <c r="D8" t="s">
        <v>120</v>
      </c>
      <c r="E8" t="s">
        <v>17</v>
      </c>
      <c r="F8" t="s">
        <v>94</v>
      </c>
      <c r="G8" t="s">
        <v>19</v>
      </c>
      <c r="H8" t="s">
        <v>80</v>
      </c>
      <c r="I8" t="s">
        <v>60</v>
      </c>
      <c r="J8" t="s">
        <v>81</v>
      </c>
      <c r="K8" t="s">
        <v>23</v>
      </c>
      <c r="L8">
        <v>150</v>
      </c>
      <c r="M8">
        <v>3</v>
      </c>
      <c r="N8">
        <v>6</v>
      </c>
      <c r="O8">
        <v>6</v>
      </c>
      <c r="P8" t="s">
        <v>40</v>
      </c>
    </row>
    <row r="9" spans="1:16" x14ac:dyDescent="0.25">
      <c r="A9">
        <f>ROW() - ROW(Table134[[#Headers],[Booth_Number]])</f>
        <v>8</v>
      </c>
      <c r="B9">
        <v>3</v>
      </c>
      <c r="C9">
        <v>31</v>
      </c>
      <c r="D9" t="s">
        <v>121</v>
      </c>
      <c r="E9" t="s">
        <v>36</v>
      </c>
      <c r="F9" t="s">
        <v>122</v>
      </c>
      <c r="G9" t="s">
        <v>19</v>
      </c>
      <c r="H9" t="s">
        <v>80</v>
      </c>
      <c r="I9" t="s">
        <v>78</v>
      </c>
      <c r="J9" t="s">
        <v>81</v>
      </c>
      <c r="K9" t="s">
        <v>88</v>
      </c>
      <c r="L9">
        <v>900</v>
      </c>
      <c r="M9">
        <v>2</v>
      </c>
      <c r="N9">
        <v>9</v>
      </c>
      <c r="O9">
        <v>7</v>
      </c>
      <c r="P9" t="s">
        <v>40</v>
      </c>
    </row>
    <row r="10" spans="1:16" x14ac:dyDescent="0.25">
      <c r="A10">
        <f>ROW() - ROW(Table134[[#Headers],[Booth_Number]])</f>
        <v>9</v>
      </c>
      <c r="B10">
        <v>3</v>
      </c>
      <c r="C10">
        <v>21</v>
      </c>
      <c r="D10" t="s">
        <v>117</v>
      </c>
      <c r="E10" t="s">
        <v>36</v>
      </c>
      <c r="F10" t="s">
        <v>123</v>
      </c>
      <c r="G10" t="s">
        <v>19</v>
      </c>
      <c r="H10" t="s">
        <v>56</v>
      </c>
      <c r="I10" t="s">
        <v>60</v>
      </c>
      <c r="J10" t="s">
        <v>84</v>
      </c>
      <c r="K10" t="s">
        <v>23</v>
      </c>
      <c r="L10">
        <v>500</v>
      </c>
      <c r="M10">
        <v>4</v>
      </c>
      <c r="N10">
        <v>2</v>
      </c>
      <c r="O10">
        <v>3</v>
      </c>
      <c r="P10" t="s">
        <v>34</v>
      </c>
    </row>
    <row r="11" spans="1:16" x14ac:dyDescent="0.25">
      <c r="A11">
        <f>ROW() - ROW(Table134[[#Headers],[Booth_Number]])</f>
        <v>10</v>
      </c>
      <c r="B11">
        <v>3</v>
      </c>
      <c r="C11">
        <v>24</v>
      </c>
      <c r="D11" t="s">
        <v>35</v>
      </c>
      <c r="E11" t="s">
        <v>36</v>
      </c>
      <c r="F11" s="2" t="s">
        <v>151</v>
      </c>
      <c r="G11" t="s">
        <v>19</v>
      </c>
      <c r="H11" t="s">
        <v>80</v>
      </c>
      <c r="I11" t="s">
        <v>57</v>
      </c>
      <c r="J11" t="s">
        <v>81</v>
      </c>
      <c r="K11" t="s">
        <v>23</v>
      </c>
      <c r="L11">
        <v>700</v>
      </c>
      <c r="M11">
        <v>3</v>
      </c>
      <c r="N11">
        <v>4</v>
      </c>
      <c r="O11">
        <v>6</v>
      </c>
      <c r="P11" t="s">
        <v>40</v>
      </c>
    </row>
    <row r="12" spans="1:16" x14ac:dyDescent="0.25">
      <c r="A12">
        <f>ROW() - ROW(Table134[[#Headers],[Booth_Number]])</f>
        <v>11</v>
      </c>
      <c r="B12">
        <v>3</v>
      </c>
      <c r="C12">
        <v>27</v>
      </c>
      <c r="D12" t="s">
        <v>124</v>
      </c>
      <c r="E12" t="s">
        <v>36</v>
      </c>
      <c r="F12" t="s">
        <v>96</v>
      </c>
      <c r="G12" t="s">
        <v>30</v>
      </c>
      <c r="H12" t="s">
        <v>80</v>
      </c>
      <c r="I12" t="s">
        <v>60</v>
      </c>
      <c r="J12" t="s">
        <v>81</v>
      </c>
      <c r="K12" t="s">
        <v>23</v>
      </c>
      <c r="L12">
        <v>450</v>
      </c>
      <c r="M12">
        <v>2</v>
      </c>
      <c r="N12">
        <v>7</v>
      </c>
      <c r="O12">
        <v>5</v>
      </c>
      <c r="P12" t="s">
        <v>34</v>
      </c>
    </row>
    <row r="13" spans="1:16" x14ac:dyDescent="0.25">
      <c r="A13">
        <f>ROW() - ROW(Table134[[#Headers],[Booth_Number]])</f>
        <v>12</v>
      </c>
      <c r="B13">
        <v>3</v>
      </c>
      <c r="C13">
        <v>25</v>
      </c>
      <c r="D13" t="s">
        <v>44</v>
      </c>
      <c r="E13" t="s">
        <v>36</v>
      </c>
      <c r="F13" t="s">
        <v>125</v>
      </c>
      <c r="G13" t="s">
        <v>19</v>
      </c>
      <c r="H13" t="s">
        <v>80</v>
      </c>
      <c r="I13" t="s">
        <v>60</v>
      </c>
      <c r="J13" t="s">
        <v>81</v>
      </c>
      <c r="K13" t="s">
        <v>23</v>
      </c>
      <c r="L13">
        <v>400</v>
      </c>
      <c r="M13">
        <v>2</v>
      </c>
      <c r="N13">
        <v>5</v>
      </c>
      <c r="O13">
        <v>7</v>
      </c>
      <c r="P13" t="s">
        <v>34</v>
      </c>
    </row>
    <row r="14" spans="1:16" x14ac:dyDescent="0.25">
      <c r="A14">
        <f>ROW() - ROW(Table134[[#Headers],[Booth_Number]])</f>
        <v>13</v>
      </c>
      <c r="B14">
        <v>3</v>
      </c>
      <c r="C14">
        <v>22</v>
      </c>
      <c r="D14" t="s">
        <v>44</v>
      </c>
      <c r="E14" t="s">
        <v>36</v>
      </c>
      <c r="F14" t="s">
        <v>62</v>
      </c>
      <c r="G14" t="s">
        <v>30</v>
      </c>
      <c r="H14" t="s">
        <v>56</v>
      </c>
      <c r="I14" t="s">
        <v>57</v>
      </c>
      <c r="J14" t="s">
        <v>84</v>
      </c>
      <c r="K14" t="s">
        <v>100</v>
      </c>
      <c r="L14">
        <v>200</v>
      </c>
      <c r="M14" s="7" t="s">
        <v>42</v>
      </c>
      <c r="N14" s="7" t="s">
        <v>42</v>
      </c>
      <c r="O14" s="7" t="s">
        <v>42</v>
      </c>
      <c r="P14" s="7" t="s">
        <v>42</v>
      </c>
    </row>
    <row r="15" spans="1:16" x14ac:dyDescent="0.25">
      <c r="A15">
        <f>ROW() - ROW(Table134[[#Headers],[Booth_Number]])</f>
        <v>14</v>
      </c>
      <c r="B15">
        <v>3</v>
      </c>
      <c r="C15">
        <v>20</v>
      </c>
      <c r="D15" t="s">
        <v>41</v>
      </c>
      <c r="E15" t="s">
        <v>17</v>
      </c>
      <c r="F15" t="s">
        <v>126</v>
      </c>
      <c r="G15" t="s">
        <v>19</v>
      </c>
      <c r="H15" t="s">
        <v>56</v>
      </c>
      <c r="I15" t="s">
        <v>69</v>
      </c>
      <c r="J15" t="s">
        <v>84</v>
      </c>
      <c r="K15" t="s">
        <v>116</v>
      </c>
      <c r="L15">
        <v>1000</v>
      </c>
      <c r="M15">
        <v>4</v>
      </c>
      <c r="N15">
        <v>7</v>
      </c>
      <c r="O15">
        <v>7</v>
      </c>
      <c r="P15" t="s">
        <v>40</v>
      </c>
    </row>
    <row r="16" spans="1:16" x14ac:dyDescent="0.25">
      <c r="A16">
        <f>ROW() - ROW(Table134[[#Headers],[Booth_Number]])</f>
        <v>15</v>
      </c>
      <c r="B16">
        <v>3</v>
      </c>
      <c r="C16">
        <v>22</v>
      </c>
      <c r="D16" t="s">
        <v>44</v>
      </c>
      <c r="E16" t="s">
        <v>17</v>
      </c>
      <c r="F16" s="7" t="s">
        <v>42</v>
      </c>
      <c r="G16" t="s">
        <v>30</v>
      </c>
      <c r="H16" t="s">
        <v>56</v>
      </c>
      <c r="I16" t="s">
        <v>60</v>
      </c>
      <c r="J16" t="s">
        <v>84</v>
      </c>
      <c r="K16" t="s">
        <v>127</v>
      </c>
      <c r="L16">
        <v>250</v>
      </c>
      <c r="M16" s="7" t="s">
        <v>42</v>
      </c>
      <c r="N16" s="7" t="s">
        <v>42</v>
      </c>
      <c r="O16" s="7" t="s">
        <v>42</v>
      </c>
      <c r="P16" s="7" t="s">
        <v>42</v>
      </c>
    </row>
    <row r="17" spans="1:16" x14ac:dyDescent="0.25">
      <c r="A17">
        <f>ROW() - ROW(Table134[[#Headers],[Booth_Number]])</f>
        <v>16</v>
      </c>
      <c r="B17">
        <v>3</v>
      </c>
      <c r="C17">
        <v>19</v>
      </c>
      <c r="D17" t="s">
        <v>115</v>
      </c>
      <c r="E17" t="s">
        <v>36</v>
      </c>
      <c r="F17" s="7" t="s">
        <v>42</v>
      </c>
      <c r="G17" t="s">
        <v>19</v>
      </c>
      <c r="H17" t="s">
        <v>56</v>
      </c>
      <c r="I17" t="s">
        <v>69</v>
      </c>
      <c r="J17" t="s">
        <v>84</v>
      </c>
      <c r="K17" t="s">
        <v>116</v>
      </c>
      <c r="L17">
        <v>400</v>
      </c>
      <c r="M17">
        <v>4</v>
      </c>
      <c r="N17">
        <v>5</v>
      </c>
      <c r="O17">
        <v>4</v>
      </c>
      <c r="P17" t="s">
        <v>34</v>
      </c>
    </row>
    <row r="18" spans="1:16" x14ac:dyDescent="0.25">
      <c r="A18">
        <f>ROW() - ROW(Table134[[#Headers],[Booth_Number]])</f>
        <v>17</v>
      </c>
      <c r="B18">
        <v>3</v>
      </c>
      <c r="C18">
        <v>18</v>
      </c>
      <c r="D18" t="s">
        <v>48</v>
      </c>
      <c r="E18" t="s">
        <v>36</v>
      </c>
      <c r="F18" s="7" t="s">
        <v>42</v>
      </c>
      <c r="G18" t="s">
        <v>19</v>
      </c>
      <c r="H18" t="s">
        <v>56</v>
      </c>
      <c r="I18" t="s">
        <v>57</v>
      </c>
      <c r="J18" t="s">
        <v>81</v>
      </c>
      <c r="K18" t="s">
        <v>23</v>
      </c>
      <c r="L18">
        <v>400</v>
      </c>
      <c r="M18">
        <v>7</v>
      </c>
      <c r="N18">
        <v>2</v>
      </c>
      <c r="O18">
        <v>7</v>
      </c>
      <c r="P18" t="s">
        <v>24</v>
      </c>
    </row>
    <row r="19" spans="1:16" x14ac:dyDescent="0.25">
      <c r="A19">
        <f>ROW() - ROW(Table134[[#Headers],[Booth_Number]])</f>
        <v>18</v>
      </c>
      <c r="B19">
        <v>3</v>
      </c>
      <c r="C19">
        <v>22</v>
      </c>
      <c r="D19" t="s">
        <v>35</v>
      </c>
      <c r="E19" t="s">
        <v>36</v>
      </c>
      <c r="F19" t="s">
        <v>18</v>
      </c>
      <c r="G19" t="s">
        <v>47</v>
      </c>
      <c r="H19" t="s">
        <v>80</v>
      </c>
      <c r="I19" t="s">
        <v>69</v>
      </c>
      <c r="J19" t="s">
        <v>81</v>
      </c>
      <c r="K19" t="s">
        <v>116</v>
      </c>
      <c r="L19" s="7" t="s">
        <v>42</v>
      </c>
      <c r="M19">
        <v>3</v>
      </c>
      <c r="N19">
        <v>6</v>
      </c>
      <c r="O19">
        <v>7</v>
      </c>
      <c r="P19" t="s">
        <v>24</v>
      </c>
    </row>
    <row r="20" spans="1:16" x14ac:dyDescent="0.25">
      <c r="A20">
        <f>ROW() - ROW(Table134[[#Headers],[Booth_Number]])</f>
        <v>19</v>
      </c>
      <c r="B20">
        <v>3</v>
      </c>
      <c r="C20">
        <v>19</v>
      </c>
      <c r="D20" t="s">
        <v>128</v>
      </c>
      <c r="E20" t="s">
        <v>36</v>
      </c>
      <c r="F20" t="s">
        <v>125</v>
      </c>
      <c r="G20" t="s">
        <v>19</v>
      </c>
      <c r="H20" t="s">
        <v>56</v>
      </c>
      <c r="I20" t="s">
        <v>54</v>
      </c>
      <c r="J20" t="s">
        <v>84</v>
      </c>
      <c r="K20" t="s">
        <v>116</v>
      </c>
      <c r="L20" s="2" t="s">
        <v>90</v>
      </c>
      <c r="M20">
        <v>5</v>
      </c>
      <c r="N20">
        <v>7</v>
      </c>
      <c r="O20">
        <v>7</v>
      </c>
      <c r="P20" t="s">
        <v>40</v>
      </c>
    </row>
    <row r="21" spans="1:16" x14ac:dyDescent="0.25">
      <c r="A21">
        <f>ROW() - ROW(Table134[[#Headers],[Booth_Number]])</f>
        <v>20</v>
      </c>
      <c r="B21">
        <v>3</v>
      </c>
      <c r="C21">
        <v>20</v>
      </c>
      <c r="D21" t="s">
        <v>41</v>
      </c>
      <c r="E21" t="s">
        <v>36</v>
      </c>
      <c r="F21" t="s">
        <v>52</v>
      </c>
      <c r="G21" t="s">
        <v>30</v>
      </c>
      <c r="H21" t="s">
        <v>56</v>
      </c>
      <c r="I21" t="s">
        <v>69</v>
      </c>
      <c r="J21" t="s">
        <v>84</v>
      </c>
      <c r="K21" t="s">
        <v>116</v>
      </c>
      <c r="L21">
        <v>200</v>
      </c>
      <c r="M21">
        <v>1</v>
      </c>
      <c r="N21">
        <v>3</v>
      </c>
      <c r="O21">
        <v>6</v>
      </c>
      <c r="P21" t="s">
        <v>40</v>
      </c>
    </row>
    <row r="22" spans="1:16" x14ac:dyDescent="0.25">
      <c r="A22">
        <f>ROW() - ROW(Table134[[#Headers],[Booth_Number]])</f>
        <v>21</v>
      </c>
      <c r="B22">
        <v>3</v>
      </c>
      <c r="C22">
        <v>22</v>
      </c>
      <c r="D22" t="s">
        <v>48</v>
      </c>
      <c r="E22" t="s">
        <v>36</v>
      </c>
      <c r="F22" t="s">
        <v>129</v>
      </c>
      <c r="G22" t="s">
        <v>47</v>
      </c>
      <c r="H22" t="s">
        <v>56</v>
      </c>
      <c r="I22" t="s">
        <v>69</v>
      </c>
      <c r="J22" t="s">
        <v>81</v>
      </c>
      <c r="K22" t="s">
        <v>23</v>
      </c>
      <c r="L22">
        <v>1700</v>
      </c>
      <c r="M22">
        <v>2</v>
      </c>
      <c r="N22">
        <v>7</v>
      </c>
      <c r="O22">
        <v>0</v>
      </c>
      <c r="P22" t="s">
        <v>40</v>
      </c>
    </row>
    <row r="23" spans="1:16" x14ac:dyDescent="0.25">
      <c r="A23">
        <f>ROW() - ROW(Table134[[#Headers],[Booth_Number]])</f>
        <v>22</v>
      </c>
      <c r="B23">
        <v>3</v>
      </c>
      <c r="C23">
        <v>23</v>
      </c>
      <c r="D23" t="s">
        <v>41</v>
      </c>
      <c r="E23" t="s">
        <v>17</v>
      </c>
      <c r="F23" t="s">
        <v>77</v>
      </c>
      <c r="G23" t="s">
        <v>30</v>
      </c>
      <c r="H23" t="s">
        <v>56</v>
      </c>
      <c r="I23" t="s">
        <v>57</v>
      </c>
      <c r="J23" t="s">
        <v>65</v>
      </c>
      <c r="K23" t="s">
        <v>23</v>
      </c>
      <c r="L23">
        <v>200</v>
      </c>
      <c r="M23">
        <v>0</v>
      </c>
      <c r="N23">
        <v>2</v>
      </c>
      <c r="O23">
        <v>6</v>
      </c>
      <c r="P23" t="s">
        <v>34</v>
      </c>
    </row>
    <row r="24" spans="1:16" x14ac:dyDescent="0.25">
      <c r="A24">
        <f>ROW() - ROW(Table134[[#Headers],[Booth_Number]])</f>
        <v>23</v>
      </c>
      <c r="B24">
        <v>3</v>
      </c>
      <c r="C24">
        <v>53</v>
      </c>
      <c r="D24" t="s">
        <v>41</v>
      </c>
      <c r="E24" t="s">
        <v>36</v>
      </c>
      <c r="F24" t="s">
        <v>130</v>
      </c>
      <c r="G24" t="s">
        <v>130</v>
      </c>
      <c r="H24" t="s">
        <v>31</v>
      </c>
      <c r="I24" t="s">
        <v>78</v>
      </c>
      <c r="J24" t="s">
        <v>84</v>
      </c>
      <c r="K24" t="s">
        <v>39</v>
      </c>
      <c r="L24">
        <v>2000</v>
      </c>
      <c r="M24">
        <v>1</v>
      </c>
      <c r="N24">
        <v>3</v>
      </c>
      <c r="O24">
        <v>1</v>
      </c>
      <c r="P24" t="s">
        <v>24</v>
      </c>
    </row>
    <row r="25" spans="1:16" x14ac:dyDescent="0.25">
      <c r="A25">
        <f>ROW() - ROW(Table134[[#Headers],[Booth_Number]])</f>
        <v>24</v>
      </c>
      <c r="B25">
        <v>3</v>
      </c>
      <c r="C25">
        <v>26</v>
      </c>
      <c r="D25" t="s">
        <v>41</v>
      </c>
      <c r="E25" t="s">
        <v>17</v>
      </c>
      <c r="F25" t="s">
        <v>131</v>
      </c>
      <c r="G25" t="s">
        <v>19</v>
      </c>
      <c r="H25" t="s">
        <v>80</v>
      </c>
      <c r="I25" t="s">
        <v>69</v>
      </c>
      <c r="J25" t="s">
        <v>81</v>
      </c>
      <c r="K25" t="s">
        <v>116</v>
      </c>
      <c r="L25">
        <v>500</v>
      </c>
      <c r="M25">
        <v>2</v>
      </c>
      <c r="N25">
        <v>6</v>
      </c>
      <c r="O25">
        <v>8</v>
      </c>
      <c r="P25" t="s">
        <v>24</v>
      </c>
    </row>
    <row r="26" spans="1:16" x14ac:dyDescent="0.25">
      <c r="A26">
        <f>ROW() - ROW(Table134[[#Headers],[Booth_Number]])</f>
        <v>25</v>
      </c>
      <c r="B26">
        <v>3</v>
      </c>
      <c r="C26">
        <v>27</v>
      </c>
      <c r="D26" t="s">
        <v>41</v>
      </c>
      <c r="E26" t="s">
        <v>36</v>
      </c>
      <c r="F26" t="s">
        <v>132</v>
      </c>
      <c r="G26" t="s">
        <v>47</v>
      </c>
      <c r="H26" t="s">
        <v>133</v>
      </c>
      <c r="I26" t="s">
        <v>78</v>
      </c>
      <c r="J26" t="s">
        <v>105</v>
      </c>
      <c r="K26" t="s">
        <v>23</v>
      </c>
      <c r="L26">
        <v>1300</v>
      </c>
      <c r="M26">
        <v>4</v>
      </c>
      <c r="N26">
        <v>5</v>
      </c>
      <c r="O26">
        <v>3</v>
      </c>
      <c r="P26" t="s">
        <v>34</v>
      </c>
    </row>
    <row r="27" spans="1:16" x14ac:dyDescent="0.25">
      <c r="A27">
        <f>ROW() - ROW(Table134[[#Headers],[Booth_Number]])</f>
        <v>26</v>
      </c>
      <c r="B27">
        <v>3</v>
      </c>
      <c r="C27">
        <v>27</v>
      </c>
      <c r="D27" t="s">
        <v>41</v>
      </c>
      <c r="E27" t="s">
        <v>17</v>
      </c>
      <c r="F27" s="7" t="s">
        <v>42</v>
      </c>
      <c r="G27" t="s">
        <v>104</v>
      </c>
      <c r="H27" t="s">
        <v>56</v>
      </c>
      <c r="I27" t="s">
        <v>60</v>
      </c>
      <c r="J27" t="s">
        <v>84</v>
      </c>
      <c r="K27" t="s">
        <v>116</v>
      </c>
      <c r="L27">
        <v>500</v>
      </c>
      <c r="M27">
        <v>7</v>
      </c>
      <c r="N27">
        <v>5</v>
      </c>
      <c r="O27">
        <v>9</v>
      </c>
      <c r="P27" t="s">
        <v>34</v>
      </c>
    </row>
    <row r="28" spans="1:16" x14ac:dyDescent="0.25">
      <c r="A28">
        <f>ROW() - ROW(Table134[[#Headers],[Booth_Number]])</f>
        <v>27</v>
      </c>
      <c r="B28">
        <v>3</v>
      </c>
      <c r="C28">
        <v>24</v>
      </c>
      <c r="D28" t="s">
        <v>134</v>
      </c>
      <c r="E28" t="s">
        <v>17</v>
      </c>
      <c r="F28" s="7" t="s">
        <v>42</v>
      </c>
      <c r="G28" t="s">
        <v>68</v>
      </c>
      <c r="H28" t="s">
        <v>80</v>
      </c>
      <c r="I28" t="s">
        <v>60</v>
      </c>
      <c r="J28" t="s">
        <v>81</v>
      </c>
      <c r="K28" t="s">
        <v>88</v>
      </c>
      <c r="L28">
        <v>300</v>
      </c>
      <c r="M28">
        <v>3</v>
      </c>
      <c r="N28">
        <v>5</v>
      </c>
      <c r="O28">
        <v>2</v>
      </c>
      <c r="P28" t="s">
        <v>34</v>
      </c>
    </row>
    <row r="29" spans="1:16" x14ac:dyDescent="0.25">
      <c r="A29">
        <f>ROW() - ROW(Table134[[#Headers],[Booth_Number]])</f>
        <v>28</v>
      </c>
      <c r="B29">
        <v>3</v>
      </c>
      <c r="C29">
        <v>22</v>
      </c>
      <c r="D29" t="s">
        <v>44</v>
      </c>
      <c r="E29" t="s">
        <v>17</v>
      </c>
      <c r="F29" s="7" t="s">
        <v>42</v>
      </c>
      <c r="G29" t="s">
        <v>30</v>
      </c>
      <c r="H29" t="s">
        <v>56</v>
      </c>
      <c r="I29" t="s">
        <v>57</v>
      </c>
      <c r="J29" t="s">
        <v>91</v>
      </c>
      <c r="K29" t="s">
        <v>135</v>
      </c>
      <c r="L29">
        <v>1000</v>
      </c>
      <c r="M29">
        <v>6</v>
      </c>
      <c r="N29">
        <v>4</v>
      </c>
      <c r="O29">
        <v>6</v>
      </c>
      <c r="P29" t="s">
        <v>34</v>
      </c>
    </row>
    <row r="30" spans="1:16" x14ac:dyDescent="0.25">
      <c r="A30">
        <f>ROW() - ROW(Table134[[#Headers],[Booth_Number]])</f>
        <v>29</v>
      </c>
      <c r="B30">
        <v>3</v>
      </c>
      <c r="C30">
        <v>25</v>
      </c>
      <c r="D30" t="s">
        <v>41</v>
      </c>
      <c r="E30" t="s">
        <v>36</v>
      </c>
      <c r="F30" t="s">
        <v>136</v>
      </c>
      <c r="G30" t="s">
        <v>30</v>
      </c>
      <c r="H30" t="s">
        <v>80</v>
      </c>
      <c r="I30" t="s">
        <v>69</v>
      </c>
      <c r="J30" t="s">
        <v>81</v>
      </c>
      <c r="K30" t="s">
        <v>23</v>
      </c>
      <c r="L30">
        <v>800</v>
      </c>
      <c r="M30">
        <v>0</v>
      </c>
      <c r="N30">
        <v>3</v>
      </c>
      <c r="O30">
        <v>3</v>
      </c>
      <c r="P30" t="s">
        <v>24</v>
      </c>
    </row>
    <row r="31" spans="1:16" x14ac:dyDescent="0.25">
      <c r="A31">
        <f>ROW() - ROW(Table134[[#Headers],[Booth_Number]])</f>
        <v>30</v>
      </c>
      <c r="B31">
        <v>3</v>
      </c>
      <c r="C31">
        <v>27</v>
      </c>
      <c r="D31" t="s">
        <v>41</v>
      </c>
      <c r="E31" t="s">
        <v>17</v>
      </c>
      <c r="F31" t="s">
        <v>137</v>
      </c>
      <c r="G31" t="s">
        <v>30</v>
      </c>
      <c r="H31" t="s">
        <v>80</v>
      </c>
      <c r="I31" t="s">
        <v>60</v>
      </c>
      <c r="J31" t="s">
        <v>81</v>
      </c>
      <c r="K31" t="s">
        <v>23</v>
      </c>
      <c r="L31">
        <v>850</v>
      </c>
      <c r="M31">
        <v>1</v>
      </c>
      <c r="N31">
        <v>4</v>
      </c>
      <c r="O31">
        <v>7</v>
      </c>
      <c r="P31" t="s">
        <v>34</v>
      </c>
    </row>
    <row r="32" spans="1:16" s="3" customFormat="1" x14ac:dyDescent="0.25">
      <c r="A32" s="3">
        <f>SUBTOTAL(103,Table134[Booth_Number])</f>
        <v>30</v>
      </c>
      <c r="C32" s="3">
        <f>SUBTOTAL(101,Table134[Age_Years])</f>
        <v>24.466666666666665</v>
      </c>
      <c r="L32" s="3">
        <f>SUBTOTAL(101,Table134[Monthly_Disposable_Income_EUR])</f>
        <v>671.42857142857144</v>
      </c>
      <c r="M32" s="3">
        <f>SUBTOTAL(101,Table134[Political_Orientation_0_10])</f>
        <v>3.1851851851851851</v>
      </c>
      <c r="N32" s="3">
        <f>SUBTOTAL(101,Table134[General_Trust_0_10])</f>
        <v>4.7037037037037033</v>
      </c>
      <c r="O32" s="3">
        <f>SUBTOTAL(101,Table134[Risk_Willingness_0_10])</f>
        <v>5.3703703703703702</v>
      </c>
      <c r="P32" s="3">
        <f>SUBTOTAL(103,Table134[Charitable_Donations])</f>
        <v>30</v>
      </c>
    </row>
  </sheetData>
  <conditionalFormatting sqref="A2:A31">
    <cfRule type="duplicateValues" dxfId="32" priority="2"/>
  </conditionalFormatting>
  <conditionalFormatting sqref="A2:P31">
    <cfRule type="containsBlanks" dxfId="31" priority="1">
      <formula>LEN(TRIM(A2))=0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D8A9EB52-61D7-3846-97E3-D351BBB29DA1}">
          <x14:formula1>
            <xm:f>Lists!$F$1:$F$2</xm:f>
          </x14:formula1>
          <xm:sqref>K33:K1014</xm:sqref>
        </x14:dataValidation>
        <x14:dataValidation type="list" allowBlank="1" xr:uid="{269862ED-C5AE-1547-8AFE-1476AAECBA01}">
          <x14:formula1>
            <xm:f>Lists!$A$1:$A$5</xm:f>
          </x14:formula1>
          <xm:sqref>E2:E31 E33:E1014</xm:sqref>
        </x14:dataValidation>
        <x14:dataValidation type="list" allowBlank="1" xr:uid="{BC8CD3CE-96F1-4948-94B8-C6D2C08A5ED5}">
          <x14:formula1>
            <xm:f>Lists!$B$1:$B$5</xm:f>
          </x14:formula1>
          <xm:sqref>G2:G31 G33:G1014</xm:sqref>
        </x14:dataValidation>
        <x14:dataValidation type="list" allowBlank="1" xr:uid="{7B9217B9-04D9-D044-8F4C-AC41D56E2F5A}">
          <x14:formula1>
            <xm:f>Lists!$C$1:$C$4</xm:f>
          </x14:formula1>
          <xm:sqref>H2:H31 H33:H1014</xm:sqref>
        </x14:dataValidation>
        <x14:dataValidation type="list" allowBlank="1" xr:uid="{623BC8B7-F55B-5444-9689-46D97D388816}">
          <x14:formula1>
            <xm:f>Lists!$D$1:$D$5</xm:f>
          </x14:formula1>
          <xm:sqref>I2:I31 I33:I1014</xm:sqref>
        </x14:dataValidation>
        <x14:dataValidation type="list" allowBlank="1" xr:uid="{3CA9C4D0-5B2A-D344-B9FC-AFA207A92CF3}">
          <x14:formula1>
            <xm:f>Lists!$E$1:$E$6</xm:f>
          </x14:formula1>
          <xm:sqref>J2:J31 J33:J1014</xm:sqref>
        </x14:dataValidation>
        <x14:dataValidation type="list" allowBlank="1" xr:uid="{FFC6F46B-2861-7041-A295-9F35F388B649}">
          <x14:formula1>
            <xm:f>Lists!$G$1:$G$11</xm:f>
          </x14:formula1>
          <xm:sqref>M33:O1014 M17:O31 M3:O13 M15:O15</xm:sqref>
        </x14:dataValidation>
        <x14:dataValidation type="list" allowBlank="1" xr:uid="{A4BEB995-8FD0-7D45-90CC-22C2CD12E3A8}">
          <x14:formula1>
            <xm:f>Lists!$H$1:$H$3</xm:f>
          </x14:formula1>
          <xm:sqref>P33:P1014 P17:P31 P3:P13 P15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baseColWidth="10" defaultColWidth="8.85546875" defaultRowHeight="15" x14ac:dyDescent="0.25"/>
  <sheetData>
    <row r="1" spans="1:8" x14ac:dyDescent="0.25">
      <c r="A1" t="s">
        <v>36</v>
      </c>
      <c r="B1" t="s">
        <v>19</v>
      </c>
      <c r="C1" t="s">
        <v>56</v>
      </c>
      <c r="D1" t="s">
        <v>54</v>
      </c>
      <c r="E1" t="s">
        <v>84</v>
      </c>
      <c r="F1" t="s">
        <v>138</v>
      </c>
      <c r="G1" t="s">
        <v>138</v>
      </c>
      <c r="H1" t="s">
        <v>34</v>
      </c>
    </row>
    <row r="2" spans="1:8" x14ac:dyDescent="0.25">
      <c r="A2" t="s">
        <v>17</v>
      </c>
      <c r="B2" t="s">
        <v>30</v>
      </c>
      <c r="C2" t="s">
        <v>80</v>
      </c>
      <c r="D2" t="s">
        <v>69</v>
      </c>
      <c r="E2" t="s">
        <v>91</v>
      </c>
      <c r="F2" t="s">
        <v>139</v>
      </c>
      <c r="G2" t="s">
        <v>139</v>
      </c>
      <c r="H2" t="s">
        <v>40</v>
      </c>
    </row>
    <row r="3" spans="1:8" x14ac:dyDescent="0.25">
      <c r="A3" t="s">
        <v>140</v>
      </c>
      <c r="B3" t="s">
        <v>68</v>
      </c>
      <c r="C3" t="s">
        <v>141</v>
      </c>
      <c r="D3" t="s">
        <v>60</v>
      </c>
      <c r="E3" t="s">
        <v>81</v>
      </c>
      <c r="G3" t="s">
        <v>142</v>
      </c>
      <c r="H3" t="s">
        <v>24</v>
      </c>
    </row>
    <row r="4" spans="1:8" x14ac:dyDescent="0.25">
      <c r="A4" t="s">
        <v>31</v>
      </c>
      <c r="B4" t="s">
        <v>47</v>
      </c>
      <c r="C4" t="s">
        <v>31</v>
      </c>
      <c r="D4" t="s">
        <v>57</v>
      </c>
      <c r="E4" t="s">
        <v>105</v>
      </c>
      <c r="G4" t="s">
        <v>143</v>
      </c>
    </row>
    <row r="5" spans="1:8" x14ac:dyDescent="0.25">
      <c r="A5" t="s">
        <v>65</v>
      </c>
      <c r="B5" t="s">
        <v>104</v>
      </c>
      <c r="D5" t="s">
        <v>78</v>
      </c>
      <c r="E5" t="s">
        <v>103</v>
      </c>
      <c r="G5" t="s">
        <v>144</v>
      </c>
    </row>
    <row r="6" spans="1:8" x14ac:dyDescent="0.25">
      <c r="E6" t="s">
        <v>65</v>
      </c>
      <c r="G6" t="s">
        <v>145</v>
      </c>
    </row>
    <row r="7" spans="1:8" x14ac:dyDescent="0.25">
      <c r="G7" t="s">
        <v>146</v>
      </c>
    </row>
    <row r="8" spans="1:8" x14ac:dyDescent="0.25">
      <c r="G8" t="s">
        <v>147</v>
      </c>
    </row>
    <row r="9" spans="1:8" x14ac:dyDescent="0.25">
      <c r="G9" t="s">
        <v>148</v>
      </c>
    </row>
    <row r="10" spans="1:8" x14ac:dyDescent="0.25">
      <c r="G10" t="s">
        <v>149</v>
      </c>
    </row>
    <row r="11" spans="1:8" x14ac:dyDescent="0.25">
      <c r="G11" t="s">
        <v>150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B66D81EE70E48B203259389647961" ma:contentTypeVersion="10" ma:contentTypeDescription="Create a new document." ma:contentTypeScope="" ma:versionID="56a3d25400eb3469de8b7081458b72d7">
  <xsd:schema xmlns:xsd="http://www.w3.org/2001/XMLSchema" xmlns:xs="http://www.w3.org/2001/XMLSchema" xmlns:p="http://schemas.microsoft.com/office/2006/metadata/properties" xmlns:ns2="ddb7ca82-6d5d-4f66-9d31-a402b614ea68" xmlns:ns3="27413093-2e28-4a88-8d6a-0a17d7dc5b13" targetNamespace="http://schemas.microsoft.com/office/2006/metadata/properties" ma:root="true" ma:fieldsID="538fea1a75c13379fc5af1d333af343b" ns2:_="" ns3:_="">
    <xsd:import namespace="ddb7ca82-6d5d-4f66-9d31-a402b614ea68"/>
    <xsd:import namespace="27413093-2e28-4a88-8d6a-0a17d7dc5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7ca82-6d5d-4f66-9d31-a402b614ea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14e36f-e084-4b04-bba6-548b1473dc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413093-2e28-4a88-8d6a-0a17d7dc5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bb0c110-14d9-4d95-9ad0-34678961d30e}" ma:internalName="TaxCatchAll" ma:showField="CatchAllData" ma:web="27413093-2e28-4a88-8d6a-0a17d7dc5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b7ca82-6d5d-4f66-9d31-a402b614ea68">
      <Terms xmlns="http://schemas.microsoft.com/office/infopath/2007/PartnerControls"/>
    </lcf76f155ced4ddcb4097134ff3c332f>
    <TaxCatchAll xmlns="27413093-2e28-4a88-8d6a-0a17d7dc5b13" xsi:nil="true"/>
  </documentManagement>
</p:properties>
</file>

<file path=customXml/itemProps1.xml><?xml version="1.0" encoding="utf-8"?>
<ds:datastoreItem xmlns:ds="http://schemas.openxmlformats.org/officeDocument/2006/customXml" ds:itemID="{3BDF218B-0FD1-4790-B729-21D1DFE8DA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b7ca82-6d5d-4f66-9d31-a402b614ea68"/>
    <ds:schemaRef ds:uri="27413093-2e28-4a88-8d6a-0a17d7dc5b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DF2F1B-5B45-4770-86ED-5FAAE2451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6C8945-ABB6-4301-B17F-5D81ADA43A76}">
  <ds:schemaRefs>
    <ds:schemaRef ds:uri="http://schemas.microsoft.com/office/2006/metadata/properties"/>
    <ds:schemaRef ds:uri="http://schemas.microsoft.com/office/infopath/2007/PartnerControls"/>
    <ds:schemaRef ds:uri="ddb7ca82-6d5d-4f66-9d31-a402b614ea68"/>
    <ds:schemaRef ds:uri="27413093-2e28-4a88-8d6a-0a17d7dc5b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Session1</vt:lpstr>
      <vt:lpstr>Session2</vt:lpstr>
      <vt:lpstr>Session3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Bergmann, Soehnke</cp:lastModifiedBy>
  <cp:revision/>
  <dcterms:created xsi:type="dcterms:W3CDTF">2026-06-09T12:52:12Z</dcterms:created>
  <dcterms:modified xsi:type="dcterms:W3CDTF">2026-06-19T09:02:30Z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0x01010017AB66D81EE70E48B203259389647961</vt:lpwstr>
  </property>
  <property fmtid="{D5CDD505-2E9C-101B-9397-08002B2CF9AE}" pid="3" name="MediaServiceImageTags">
    <vt:lpwstr/>
  </property>
</Properties>
</file>